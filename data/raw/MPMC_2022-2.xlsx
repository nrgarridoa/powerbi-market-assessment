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lvarado/Desktop/FINAL Market Assesment FINAL/"/>
    </mc:Choice>
  </mc:AlternateContent>
  <xr:revisionPtr revIDLastSave="0" documentId="13_ncr:1_{7DC55908-8503-E34E-90AB-EA525E964C2A}" xr6:coauthVersionLast="47" xr6:coauthVersionMax="47" xr10:uidLastSave="{00000000-0000-0000-0000-000000000000}"/>
  <bookViews>
    <workbookView xWindow="1880" yWindow="3680" windowWidth="30800" windowHeight="20960" xr2:uid="{00000000-000D-0000-FFFF-FFFF00000000}"/>
  </bookViews>
  <sheets>
    <sheet name="PRINCIPALES PROYECTOS 2022" sheetId="3" r:id="rId1"/>
    <sheet name="ANALISIS REGIONES TOP 10" sheetId="4" r:id="rId2"/>
    <sheet name="Solo TOP 10" sheetId="5" r:id="rId3"/>
    <sheet name="Report W. by Capex" sheetId="8" r:id="rId4"/>
    <sheet name="REPORT WEIR (Bruto)" sheetId="6" r:id="rId5"/>
    <sheet name="Hoja2" sheetId="7" r:id="rId6"/>
  </sheets>
  <definedNames>
    <definedName name="_xlnm._FilterDatabase" localSheetId="0" hidden="1">'PRINCIPALES PROYECTOS 2022'!$A$1:$N$114</definedName>
    <definedName name="_xlnm._FilterDatabase" localSheetId="3" hidden="1">'Report W. by Capex'!$B$2:$G$42</definedName>
    <definedName name="_xlnm._FilterDatabase" localSheetId="2" hidden="1">'Solo TOP 10'!$A$1:$M$68</definedName>
    <definedName name="_xlnm.Databas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8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9" authorId="0" shapeId="0" xr:uid="{F4CA70FD-F823-9D46-AD86-C93CA01DEAB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Proyecto paralizado - Enero 2023
</t>
        </r>
      </text>
    </comment>
  </commentList>
</comments>
</file>

<file path=xl/sharedStrings.xml><?xml version="1.0" encoding="utf-8"?>
<sst xmlns="http://schemas.openxmlformats.org/spreadsheetml/2006/main" count="2600" uniqueCount="583">
  <si>
    <t>PROYECTO</t>
  </si>
  <si>
    <t>PRODUCTO</t>
  </si>
  <si>
    <t>PROVINCIA</t>
  </si>
  <si>
    <t>DISTRITO</t>
  </si>
  <si>
    <t>LONGITUD</t>
  </si>
  <si>
    <t>LATITUD</t>
  </si>
  <si>
    <t>Cu</t>
  </si>
  <si>
    <t>Lima</t>
  </si>
  <si>
    <t>Huaral</t>
  </si>
  <si>
    <t>Minera Shouxin Peru S.A.C.</t>
  </si>
  <si>
    <t>Ica</t>
  </si>
  <si>
    <t>Nazca</t>
  </si>
  <si>
    <t>Marcona</t>
  </si>
  <si>
    <t>Minera Las Bambas S.A.</t>
  </si>
  <si>
    <t>Apurimac</t>
  </si>
  <si>
    <t>Cotabambas</t>
  </si>
  <si>
    <t>Challhuahuacho, Coylluriqui, Tambopata y Grau</t>
  </si>
  <si>
    <t>ICM Pachapaqui S.A.C.</t>
  </si>
  <si>
    <t>Zn, Pb, Ag, Cu</t>
  </si>
  <si>
    <t>Bolognesi</t>
  </si>
  <si>
    <t>Aquia</t>
  </si>
  <si>
    <t>Au</t>
  </si>
  <si>
    <t>La Libertad</t>
  </si>
  <si>
    <t>Pataz</t>
  </si>
  <si>
    <t>Yauli</t>
  </si>
  <si>
    <t>Morococha</t>
  </si>
  <si>
    <t>Cu, Mo</t>
  </si>
  <si>
    <t>Antabamba</t>
  </si>
  <si>
    <t>Sabaino</t>
  </si>
  <si>
    <t>Ariana Operaciones Mineras S.A.C</t>
  </si>
  <si>
    <t>Cu, Ag, Au, Zn</t>
  </si>
  <si>
    <t>Marcapomacocha</t>
  </si>
  <si>
    <t>Tinka Resources S.A.C</t>
  </si>
  <si>
    <t>Zn,Pb,Ag</t>
  </si>
  <si>
    <t>Pasco</t>
  </si>
  <si>
    <t>Yanahuanca</t>
  </si>
  <si>
    <t>Exploraciones Collasuyo S.A.C.</t>
  </si>
  <si>
    <t>Zn, Pb</t>
  </si>
  <si>
    <t>Cusco</t>
  </si>
  <si>
    <t>Paruro</t>
  </si>
  <si>
    <t>Accha</t>
  </si>
  <si>
    <t>Lambayeque</t>
  </si>
  <si>
    <t>Zn, Pb, Ag</t>
  </si>
  <si>
    <t>Amazonas</t>
  </si>
  <si>
    <t>Florida y Yambrasbamba</t>
  </si>
  <si>
    <t>Minera Yanacocha S.R.L.</t>
  </si>
  <si>
    <t>Au, Cu</t>
  </si>
  <si>
    <t>Cajamarca</t>
  </si>
  <si>
    <t>Bear Creek Mining S.A.C.</t>
  </si>
  <si>
    <t>Corani</t>
  </si>
  <si>
    <t>Ag, Pb, Zn</t>
  </si>
  <si>
    <t>Puno</t>
  </si>
  <si>
    <t>Carabaya</t>
  </si>
  <si>
    <t>Cu, Au, Ag</t>
  </si>
  <si>
    <t>Junefield Group S.A.</t>
  </si>
  <si>
    <t>Arequipa</t>
  </si>
  <si>
    <t>Yarabamba</t>
  </si>
  <si>
    <t>Lumina Copper S.A.C.</t>
  </si>
  <si>
    <t>Cu, Au, Ag, Mo</t>
  </si>
  <si>
    <t>Zn, Ag, Pb</t>
  </si>
  <si>
    <t>Cu-Mo</t>
  </si>
  <si>
    <t>Cotabambas y Grau</t>
  </si>
  <si>
    <t>Chalhuahuacho y Progreso</t>
  </si>
  <si>
    <t>Fe</t>
  </si>
  <si>
    <t>Andahuaylas</t>
  </si>
  <si>
    <t>Au, Ag</t>
  </si>
  <si>
    <t>Ayacucho</t>
  </si>
  <si>
    <t>Paucar del Sara Sara</t>
  </si>
  <si>
    <t>Oyolo , San Javier de Alpabamba</t>
  </si>
  <si>
    <t>Espinar</t>
  </si>
  <si>
    <t>Chota</t>
  </si>
  <si>
    <t>Querocoto</t>
  </si>
  <si>
    <t>Moquegua</t>
  </si>
  <si>
    <t>Mariscal Nieto</t>
  </si>
  <si>
    <t>Moquegua y Torata</t>
  </si>
  <si>
    <t>Aymaraes</t>
  </si>
  <si>
    <t>Tapapyrihua</t>
  </si>
  <si>
    <t>Macusani Yellowcake S.A.C.</t>
  </si>
  <si>
    <t>U</t>
  </si>
  <si>
    <t>Corani y Macusani</t>
  </si>
  <si>
    <t>Pallasca</t>
  </si>
  <si>
    <t>Conchucos</t>
  </si>
  <si>
    <t>Ag, Pb, Mn, Hi, Au</t>
  </si>
  <si>
    <t>Minera Kuri Kullu S.A.</t>
  </si>
  <si>
    <t>Ollachea</t>
  </si>
  <si>
    <t>Cu, Au</t>
  </si>
  <si>
    <t>Huancavelica</t>
  </si>
  <si>
    <t>Anglo American Quellaveco S.A.</t>
  </si>
  <si>
    <t>Torata</t>
  </si>
  <si>
    <t>Rio Blanco Copper S.A.</t>
  </si>
  <si>
    <t>Piura</t>
  </si>
  <si>
    <t>Huancabamba</t>
  </si>
  <si>
    <t>El Carmen de la Frontera</t>
  </si>
  <si>
    <t>Reliant Ventures S.A.C.</t>
  </si>
  <si>
    <t>Au y Ag</t>
  </si>
  <si>
    <t>Yungay</t>
  </si>
  <si>
    <t>Shupluy</t>
  </si>
  <si>
    <t>Carhuamayo</t>
  </si>
  <si>
    <t>Islay</t>
  </si>
  <si>
    <t>El Molle Verde S.A.C.</t>
  </si>
  <si>
    <t>Juan Espinoza Medrano</t>
  </si>
  <si>
    <t>Castilla y Caylloma</t>
  </si>
  <si>
    <t>Li</t>
  </si>
  <si>
    <t>Minera Chinalco Perú S.A.</t>
  </si>
  <si>
    <t>Nexa Resources Perú. S.A.A.</t>
  </si>
  <si>
    <t>Minera Antares Perú S.A.C.</t>
  </si>
  <si>
    <t>Rio Tinto Minera Perú Limitada S.A.C.</t>
  </si>
  <si>
    <t>Minera Hampton Perú S.A.C</t>
  </si>
  <si>
    <t>Southern Perú Copper Corporation, Sucursal del Perú</t>
  </si>
  <si>
    <t>Jinzhao Mining Perú S.A.</t>
  </si>
  <si>
    <t>Compañ¡a Minera Poderosa S.A.</t>
  </si>
  <si>
    <t>Compañ¡a Minera Ares S.A.C.</t>
  </si>
  <si>
    <t>Compañ¡a Minera Antapaccay S.A.</t>
  </si>
  <si>
    <t>Compañ¡a Minera Quechua S.A.</t>
  </si>
  <si>
    <t>Compañ¡a de Minas Buenaventura S.A.A.</t>
  </si>
  <si>
    <t>Compañ¡a Minera Zafranal S.A.C.</t>
  </si>
  <si>
    <t>Cañariaco Copper Perú S.A.</t>
  </si>
  <si>
    <t>Ferreñafe</t>
  </si>
  <si>
    <t>Cañaris</t>
  </si>
  <si>
    <t>Sorochuco y La Encañada</t>
  </si>
  <si>
    <t>La Encañada</t>
  </si>
  <si>
    <t>Compañia de Minas Buenaventura S.A.A.</t>
  </si>
  <si>
    <t>Ichuña</t>
  </si>
  <si>
    <t>Cajamarcar, La Encañada y Los Baños del Inca</t>
  </si>
  <si>
    <t>Procesadora Industrial Río Seco S.A.</t>
  </si>
  <si>
    <t>Panoro Apurímac S.A.</t>
  </si>
  <si>
    <t>Apurímac Ferrum S.A.</t>
  </si>
  <si>
    <t>Áncash</t>
  </si>
  <si>
    <t>REGIÓN</t>
  </si>
  <si>
    <t>Junín</t>
  </si>
  <si>
    <t>Sáínchez Cerro</t>
  </si>
  <si>
    <t>Daniel Alcides Carrión</t>
  </si>
  <si>
    <t>Bongará</t>
  </si>
  <si>
    <t>Celendín y Cajamarca</t>
  </si>
  <si>
    <t>Daniel Alcidez Carrión</t>
  </si>
  <si>
    <t>Caravelí</t>
  </si>
  <si>
    <t>Huancarqui, Lluta y Majes</t>
  </si>
  <si>
    <t>Cocachacra, Mejía y Dean Valdivia</t>
  </si>
  <si>
    <t>Huando, Ascensión y Huancavelica</t>
  </si>
  <si>
    <t>Bella Unión y Lomas</t>
  </si>
  <si>
    <t>Sorochuco, Huasmin y La Encañada</t>
  </si>
  <si>
    <t>ALTA VICTORIA</t>
  </si>
  <si>
    <t>Ag</t>
  </si>
  <si>
    <t>AMAUTA</t>
  </si>
  <si>
    <t>APACHETA</t>
  </si>
  <si>
    <t>Pilpichaca</t>
  </si>
  <si>
    <t>ARCATA</t>
  </si>
  <si>
    <t>Condesuyos</t>
  </si>
  <si>
    <t>Cayarani</t>
  </si>
  <si>
    <t>AZULMINA</t>
  </si>
  <si>
    <t>Zn</t>
  </si>
  <si>
    <t>Huallanca</t>
  </si>
  <si>
    <t>Yambrasbamba</t>
  </si>
  <si>
    <t>CAYLLOMA</t>
  </si>
  <si>
    <t>Caylloma</t>
  </si>
  <si>
    <t>CERRO NEGRO</t>
  </si>
  <si>
    <t>CHAPITOS</t>
  </si>
  <si>
    <t>Atiquipa</t>
  </si>
  <si>
    <t>COCHACUCHO Y MYLAGROS</t>
  </si>
  <si>
    <t>Sandia</t>
  </si>
  <si>
    <t>Quiaca</t>
  </si>
  <si>
    <t>COCHALOMA</t>
  </si>
  <si>
    <t>Parinacochas</t>
  </si>
  <si>
    <t>COLORADO</t>
  </si>
  <si>
    <t>COLOSO</t>
  </si>
  <si>
    <t>Huarmey</t>
  </si>
  <si>
    <t>Tacna</t>
  </si>
  <si>
    <t>Jorge Basadre</t>
  </si>
  <si>
    <t>Ite</t>
  </si>
  <si>
    <t>CRESPO II</t>
  </si>
  <si>
    <t>Chumbivilcas</t>
  </si>
  <si>
    <t>Santo Tomas</t>
  </si>
  <si>
    <t>CURIBAYA</t>
  </si>
  <si>
    <t>Inclan</t>
  </si>
  <si>
    <t>DORITA</t>
  </si>
  <si>
    <t>Castrovirreyna</t>
  </si>
  <si>
    <t>EL CARMEN</t>
  </si>
  <si>
    <t>Chincha</t>
  </si>
  <si>
    <t>El Carmen</t>
  </si>
  <si>
    <t>EL PORVENIR</t>
  </si>
  <si>
    <t>EPOSUYAY</t>
  </si>
  <si>
    <t>Otuzco</t>
  </si>
  <si>
    <t>San Gaban</t>
  </si>
  <si>
    <t>HUACULLO</t>
  </si>
  <si>
    <t>Oropesa</t>
  </si>
  <si>
    <t>Yarowilca</t>
  </si>
  <si>
    <t>Chavinillo</t>
  </si>
  <si>
    <t>ILLARI</t>
  </si>
  <si>
    <t>ILUMINADORA</t>
  </si>
  <si>
    <t>Castilla</t>
  </si>
  <si>
    <t>LA ZANJA</t>
  </si>
  <si>
    <t>Santa Cruz; San Miguel</t>
  </si>
  <si>
    <t>LAS DEFENSAS</t>
  </si>
  <si>
    <t>LEZARD</t>
  </si>
  <si>
    <t>Aucallama</t>
  </si>
  <si>
    <t>Sinsicap</t>
  </si>
  <si>
    <t>LOMA LINDA</t>
  </si>
  <si>
    <t>Pachitea, Pasco</t>
  </si>
  <si>
    <t>LOS PERDIDOS II</t>
  </si>
  <si>
    <t>Huanchay, Coris</t>
  </si>
  <si>
    <t>LOURDES</t>
  </si>
  <si>
    <t>Lucanas</t>
  </si>
  <si>
    <t>MALPASO II</t>
  </si>
  <si>
    <t>Ambo</t>
  </si>
  <si>
    <t>San Francisco</t>
  </si>
  <si>
    <t>Huaylas</t>
  </si>
  <si>
    <t>MINA MARTA</t>
  </si>
  <si>
    <t>Huando</t>
  </si>
  <si>
    <t>MISCANTHUS</t>
  </si>
  <si>
    <t>Otoca, Leoncio Prado</t>
  </si>
  <si>
    <t>PABLO SUR</t>
  </si>
  <si>
    <t>PALCA</t>
  </si>
  <si>
    <t>PAMPA NEGRA</t>
  </si>
  <si>
    <t>General Sanchez Cerro</t>
  </si>
  <si>
    <t>La Capilla</t>
  </si>
  <si>
    <t>Chaparra</t>
  </si>
  <si>
    <t>PUCAJIRCA</t>
  </si>
  <si>
    <t>Corongo, Sihuas</t>
  </si>
  <si>
    <t>Cusca, Cashapampa</t>
  </si>
  <si>
    <t>PUCASALLA</t>
  </si>
  <si>
    <t>Ag, Cu, Zn, Pb</t>
  </si>
  <si>
    <t>QUEHUINCHA</t>
  </si>
  <si>
    <t>Livitaca</t>
  </si>
  <si>
    <t>QUENAMARI</t>
  </si>
  <si>
    <t>Sn</t>
  </si>
  <si>
    <t>Ajoyani</t>
  </si>
  <si>
    <t>QUIMSACHATA</t>
  </si>
  <si>
    <t>Cu, Ag</t>
  </si>
  <si>
    <t>Callalli</t>
  </si>
  <si>
    <t>RIQUEZA</t>
  </si>
  <si>
    <t>Acobambilla</t>
  </si>
  <si>
    <t>ROMINA 2</t>
  </si>
  <si>
    <t>Yauli, Huaral</t>
  </si>
  <si>
    <t>SAN ANTONIO</t>
  </si>
  <si>
    <t>Grau</t>
  </si>
  <si>
    <t>Micaela Bastidas</t>
  </si>
  <si>
    <t>SAN MIGUEL</t>
  </si>
  <si>
    <t>Suyckutambo</t>
  </si>
  <si>
    <t>SANTANDER</t>
  </si>
  <si>
    <t>Santa Cruz de Andamarca</t>
  </si>
  <si>
    <t>SANTO DOMINGO</t>
  </si>
  <si>
    <t>SCORPIUS</t>
  </si>
  <si>
    <t>Huanca Sancos</t>
  </si>
  <si>
    <t>Sancos</t>
  </si>
  <si>
    <t>SOLEDAD</t>
  </si>
  <si>
    <t>Aija</t>
  </si>
  <si>
    <t>SOMBRERO</t>
  </si>
  <si>
    <t>Sancos, Santiago de Lucanamarca</t>
  </si>
  <si>
    <t>SUYAWI</t>
  </si>
  <si>
    <t>Candarave</t>
  </si>
  <si>
    <t>Camilaca</t>
  </si>
  <si>
    <t>TUMIPAMPA SUR</t>
  </si>
  <si>
    <t>Abancay, Antabamba</t>
  </si>
  <si>
    <t>Circa, El Oro</t>
  </si>
  <si>
    <t>USICAYOS</t>
  </si>
  <si>
    <t>Usicayos</t>
  </si>
  <si>
    <t>YANACOCHITA II</t>
  </si>
  <si>
    <t>YAURICOCHA</t>
  </si>
  <si>
    <t>Yauyos</t>
  </si>
  <si>
    <t>Alis, Laraos</t>
  </si>
  <si>
    <t>ZORAIDA II</t>
  </si>
  <si>
    <t>Suitucancha</t>
  </si>
  <si>
    <t>BONGARÁ</t>
  </si>
  <si>
    <t>CARHUACAYÁN</t>
  </si>
  <si>
    <t>CORVINÓN</t>
  </si>
  <si>
    <t>GABÁN</t>
  </si>
  <si>
    <t>HUIÑAC PUNTA</t>
  </si>
  <si>
    <t>LLAGUÉN</t>
  </si>
  <si>
    <t>MARÍA CECILIA DOS</t>
  </si>
  <si>
    <t>PARAÍSO</t>
  </si>
  <si>
    <t>SAN JOSÉ</t>
  </si>
  <si>
    <t>Huaytarí</t>
  </si>
  <si>
    <t>Huaur, Oyón</t>
  </si>
  <si>
    <t>Coronel Castañeda</t>
  </si>
  <si>
    <t>Los Baños del Inca</t>
  </si>
  <si>
    <t>Chincha / Cañete</t>
  </si>
  <si>
    <t>Acarí</t>
  </si>
  <si>
    <t>Santa Barbara de Carhuacayán</t>
  </si>
  <si>
    <t>San Francisco de Asís de Yarusyacán, Yanacancha</t>
  </si>
  <si>
    <t>Ámbar, Cochamarca</t>
  </si>
  <si>
    <t>Chavín / Lunahuaná</t>
  </si>
  <si>
    <t>Santa Barbara de Carhuacayán, Santa Cruz de Andamarca</t>
  </si>
  <si>
    <t>Minera Cappex S.A.C</t>
  </si>
  <si>
    <t>Minera Forrester S.A.C.</t>
  </si>
  <si>
    <t>Minera Bateas S.A.C.</t>
  </si>
  <si>
    <t>Camino Resources S.A.C.</t>
  </si>
  <si>
    <t>Cori Puno S.A.C.</t>
  </si>
  <si>
    <t>Huarmy Colosal S.A.C.</t>
  </si>
  <si>
    <t>Magma Minerals S.A.C.</t>
  </si>
  <si>
    <t>Sociedad Minera Reliquias S.A.C.</t>
  </si>
  <si>
    <t>Nexa Resources El Porvenir S.A.C.</t>
  </si>
  <si>
    <t>Minera La Zanja S.R.L.</t>
  </si>
  <si>
    <t>Black Swan Minerals S.A.C.</t>
  </si>
  <si>
    <t>Consorcio Minero Sunec S.A.C.</t>
  </si>
  <si>
    <t>Pucara Resources S.A.C.</t>
  </si>
  <si>
    <t>Pan American Silver Huaron S.A.</t>
  </si>
  <si>
    <t>Minera Pampa de Cobre S.A.C.</t>
  </si>
  <si>
    <t>Minsur S.A.</t>
  </si>
  <si>
    <t>Brillandino Minerales S.A.C.</t>
  </si>
  <si>
    <t>Alpha Mining S.A.C.</t>
  </si>
  <si>
    <t>Chakana Resources S.A.C.</t>
  </si>
  <si>
    <t>Sombrero Minerales S.A.C.</t>
  </si>
  <si>
    <t>Rio Tinto Mining and Exploration S.A.C.</t>
  </si>
  <si>
    <t>Palamina S.A.C</t>
  </si>
  <si>
    <t>Sociedad Minera Corona S.A.</t>
  </si>
  <si>
    <t>Vale Exploration Perú S.A.C.</t>
  </si>
  <si>
    <t>Compañía Minera Mohicano S.A.C.</t>
  </si>
  <si>
    <t>Compañía Minera Ares S.A.C.</t>
  </si>
  <si>
    <t>Nexa Resources Perú S.A.A.</t>
  </si>
  <si>
    <t>Compañía Minera Chungar S.A.C.</t>
  </si>
  <si>
    <t>Winshear de Perú S.A.C</t>
  </si>
  <si>
    <t>Condor Exploration Perú S.A.C.</t>
  </si>
  <si>
    <t>Newmont Perú S.R.L.</t>
  </si>
  <si>
    <t>Compañía Minera Poderosa S.A.</t>
  </si>
  <si>
    <t>Hudbay Perú S.A.C.</t>
  </si>
  <si>
    <t>Minera María Cecilia Ltd. - Sucursal Perú</t>
  </si>
  <si>
    <t>Compañía Minera Barbastro S.A.C.</t>
  </si>
  <si>
    <t>Sumitomo Metal Mining Perú S.A.</t>
  </si>
  <si>
    <t>Oz Minerals Perú S.A.C.</t>
  </si>
  <si>
    <t>Minera Peñoles de Perú S.A.</t>
  </si>
  <si>
    <t>Amg-Auplata Mining Group Perú S.A.C</t>
  </si>
  <si>
    <t>Trevali Perú S.A.C.</t>
  </si>
  <si>
    <t>Fresnillo Perú S.A.C.</t>
  </si>
  <si>
    <t>Compañía Tumipampa S.A.C.</t>
  </si>
  <si>
    <t>Volcan Compañía Minera S.A.A.</t>
  </si>
  <si>
    <t>Chaviña, Puquio</t>
  </si>
  <si>
    <t>Panao, Ticlacayán</t>
  </si>
  <si>
    <t>Uñón</t>
  </si>
  <si>
    <t>Catache, Pulán; Tongod</t>
  </si>
  <si>
    <t>Pamparomás</t>
  </si>
  <si>
    <t>ID</t>
  </si>
  <si>
    <t>EMPRESA</t>
  </si>
  <si>
    <t>CLASIFICACIÓN</t>
  </si>
  <si>
    <t>CARTERA DE CONSTRUCCIÓN DE MINA</t>
  </si>
  <si>
    <t>CARTERA DE EXPLORACIÓN MINERA</t>
  </si>
  <si>
    <t>PLANTA DE COBRE RIO SECO</t>
  </si>
  <si>
    <t>AMPLIACIÓN SHOUXIN</t>
  </si>
  <si>
    <t>CHALCOBAMBA FASE I</t>
  </si>
  <si>
    <t>AMPLIACIÓN PACHAPAQUI</t>
  </si>
  <si>
    <t>AMPLIACIÓN SANTA MAR¡A</t>
  </si>
  <si>
    <t>AMPLIACIÓN TOROMOCHO</t>
  </si>
  <si>
    <t>ANTILLA</t>
  </si>
  <si>
    <t>ARIANA</t>
  </si>
  <si>
    <t>AYAWILCA</t>
  </si>
  <si>
    <t>AZOD (ACCHA Y YANQUE)</t>
  </si>
  <si>
    <t>CONGA</t>
  </si>
  <si>
    <t>CORANI</t>
  </si>
  <si>
    <t>COTABAMBAS</t>
  </si>
  <si>
    <t>DON JAVIER</t>
  </si>
  <si>
    <t>EL GALENO</t>
  </si>
  <si>
    <t>HILARIÓN</t>
  </si>
  <si>
    <t>HAQUIRA</t>
  </si>
  <si>
    <t>HIERRO APURIMAC</t>
  </si>
  <si>
    <t>OPTIMIZACION INMACULADA</t>
  </si>
  <si>
    <t>INTEGRACION COROCCOHUAYCO</t>
  </si>
  <si>
    <t>LA GRANJA</t>
  </si>
  <si>
    <t>LOS CALATOS</t>
  </si>
  <si>
    <t>LOS CHANCAS</t>
  </si>
  <si>
    <t>MACUSANI</t>
  </si>
  <si>
    <t>MAGISTRAL</t>
  </si>
  <si>
    <t>MICHIQUILLAY</t>
  </si>
  <si>
    <t>YUMPAG</t>
  </si>
  <si>
    <t>OLLACHEA</t>
  </si>
  <si>
    <t>PAMPA DE PONGO</t>
  </si>
  <si>
    <t>PUKAQAQA</t>
  </si>
  <si>
    <t>QUECHUA</t>
  </si>
  <si>
    <t>QUELLAVECO</t>
  </si>
  <si>
    <t>RIO BLANCO</t>
  </si>
  <si>
    <t>SAN GABRIEL</t>
  </si>
  <si>
    <t>SAN LUIS</t>
  </si>
  <si>
    <t>SHALIPAYCO</t>
  </si>
  <si>
    <t>T¡A MAR¡A</t>
  </si>
  <si>
    <t>TRAPICHE</t>
  </si>
  <si>
    <t>YANACOCHA SULFUROS</t>
  </si>
  <si>
    <t>ZAFRANAL</t>
  </si>
  <si>
    <t>FALCHANI</t>
  </si>
  <si>
    <t>Etiquetas de fila</t>
  </si>
  <si>
    <t>Total general</t>
  </si>
  <si>
    <t>(Todas)</t>
  </si>
  <si>
    <t>TIPO</t>
  </si>
  <si>
    <t>Subterránea</t>
  </si>
  <si>
    <t>Reaprovechamiento Relaves</t>
  </si>
  <si>
    <t>Tajo Abierto</t>
  </si>
  <si>
    <t>Tajo abierto y subterranea</t>
  </si>
  <si>
    <t>VIDA UTIL (Años)</t>
  </si>
  <si>
    <t>Máx. de VIDA UTIL (Años)</t>
  </si>
  <si>
    <t>DM</t>
  </si>
  <si>
    <t>Luis Vera</t>
  </si>
  <si>
    <t>David Valdivia</t>
  </si>
  <si>
    <t>Aldo Menautt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</si>
  <si>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La Granja Open Pit Rio Tinto - 5,000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</si>
  <si>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Conga Open Pit Newmont Corporation Compania de Minas Buenaventura,Sumitomo Corporation 4,800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</si>
  <si>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El Galeno Open Pit China Minmetals Corporation Jiangxi Copper 3,500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</si>
  <si>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Los Chancas Open Pit Southern Copper Corporation - 2,600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</si>
  <si>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Michiquillay Open Pit Southern Copper Corporation - 2,500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</si>
  <si>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Rio Blanco Open Pit Zijin Mining Group Co Xiamen C&amp;D Inc,Tongling Non-Ferrous Metals Group Holding 2,500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</si>
  <si>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La Arena Open Pit Pan American Silver - 2,450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</si>
  <si>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Mina Justa Open Pit Minsur SA Empresas Copec 1,600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</si>
  <si>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Canariaco Open Pit Candente Copper - 1,571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</si>
  <si>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Cotabambas Open Pit Panoro Minerals - 1,530</t>
    </r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</si>
  <si>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Tia Maria Open Pit Southern Copper Corporation - 1,400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</si>
  <si>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Antakori Open Pit / Underground Regulus Resources na na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</si>
  <si>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Canariaco Norte Open Pit Candente Copper na 1,437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</si>
  <si>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Conga Open Pit Newmont Corporation Sumitomo Corporation,Compania de Minas Buenaventura 4,800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</si>
  <si>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Cotabambas Open Pit Panoro Minerals na 1,530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</si>
  <si>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El Galeno Open Pit China Minmetals Jiangxi Copper 3,500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</si>
  <si>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Invicta Underground Lupaka Gold na 12.7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</si>
  <si>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Ollachea Underground Minera IRL Limited na 126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</si>
  <si>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San Gabriel Underground Compania de Minas Buenaventura na 431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</si>
  <si>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San Luis Underground SSR Mining na 90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</si>
  <si>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Accha Open Pit/ Underground Zincore Metals - 345.5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</si>
  <si>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Ayawilca Underground Tinka Resources - 465.9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</si>
  <si>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Carhuacayan Underground Volcan Compania Minera – na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</si>
  <si>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Corani Open Pit Bear Creek Mining – 579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</si>
  <si>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Florida Canyon Underground Nexa Resources Solitario Zinc Corp 296.4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</si>
  <si>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Hilarion Underground Nexa Resources – 750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</si>
  <si>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Pachapaqui Underground Korea Zinc Company - 116.5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</si>
  <si>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Romina Underground Volcan Compania Minera – na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</si>
  <si>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San Sebastian Underground Volcan Compania Minera – na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</si>
  <si>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Shalipayco Underground Nexa Resources Pan American Silver 91.2</t>
    </r>
  </si>
  <si>
    <t>Data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</si>
  <si>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Quellaveco Open Pit Anglo American Mitsubishi Corporation </t>
    </r>
  </si>
  <si>
    <t>NA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</si>
  <si>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 xml:space="preserve">El Porvenir (Lead) Underground Lead, zinc Operational Nexa Resources – na </t>
    </r>
  </si>
  <si>
    <t>Tambomayo (Gold) Underground Gold Operational Buenaventura – 362</t>
  </si>
  <si>
    <t>Antamina (Lead) Open Pit Copper, lead, zinc Operational Glencore BHP,Teck Resources, Mitsubishi Corporation 2,300</t>
  </si>
  <si>
    <t>Toromocho (Copper) Open Pit Copper Expansion Chinalco - 1,355</t>
  </si>
  <si>
    <t>Cerro Lindo (Lead) Underground Copper, lead, zinc Operational Nexa Resources – na</t>
  </si>
  <si>
    <t>Uchucchacua (Lead) Underground Lead Operational Buenaventura – na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</si>
  <si>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Atacocha (Zinc) Open Pit/ Underground Lead, zinc Operational Nexa Resources – na</t>
    </r>
  </si>
  <si>
    <t>Ayawilca Underground New Project Tinka Resources 465.9</t>
  </si>
  <si>
    <t>San Rafael Underground Operational Minsur SA 209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</si>
  <si>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Accha Open Pit/ Underground Zincore Metals - 345.5</t>
    </r>
  </si>
  <si>
    <t>Ariana Underground Southern Peaks Mining – 125</t>
  </si>
  <si>
    <t>Ayawilca Underground Tinka Resources - 465.9</t>
  </si>
  <si>
    <t>Bongara Open Pit Zinc One Resources – na</t>
  </si>
  <si>
    <t>Carhuacayan Underground Volcan Compania Minera – na</t>
  </si>
  <si>
    <t>Corani Open Pit Bear Creek Mining – 579</t>
  </si>
  <si>
    <t>Florida Canyon (formerly Bongara) Underground Nexa Resources Solitario Zinc Corp 296.4</t>
  </si>
  <si>
    <t>Hilarion Underground Nexa Resources – 750</t>
  </si>
  <si>
    <t>Pachapaqui Underground Korea Zinc Company - 116.5</t>
  </si>
  <si>
    <t>Palma Underground Volcan Compania Minera – na</t>
  </si>
  <si>
    <t>Romina Underground Volcan Compania Minera – na</t>
  </si>
  <si>
    <t>San Gregorio Open Pit Compania de Minas Buenaventura – na</t>
  </si>
  <si>
    <t>San Sebastian Underground Volcan Compania Minera – na</t>
  </si>
  <si>
    <t>Shalipayco Underground Nexa Resources Pan American Silver 91.2</t>
  </si>
  <si>
    <t>Sí</t>
  </si>
  <si>
    <t>No</t>
  </si>
  <si>
    <t>Top 10</t>
  </si>
  <si>
    <t>Top 11</t>
  </si>
  <si>
    <t>Top 12</t>
  </si>
  <si>
    <t xml:space="preserve">NO Top </t>
  </si>
  <si>
    <t>NO Top</t>
  </si>
  <si>
    <t>Ancash</t>
  </si>
  <si>
    <t>Top 13</t>
  </si>
  <si>
    <t>Junin</t>
  </si>
  <si>
    <t xml:space="preserve">Lima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</si>
  <si>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Palma Underground Volcan Compania Minera – na</t>
    </r>
  </si>
  <si>
    <t>Andrea PERTENECE A ROMINA Underground Volcan Compania Minera – na</t>
  </si>
  <si>
    <r>
      <rPr>
        <b/>
        <sz val="11"/>
        <color theme="1"/>
        <rFont val="Calibri"/>
        <family val="2"/>
        <scheme val="minor"/>
      </rPr>
      <t xml:space="preserve">Andrea </t>
    </r>
    <r>
      <rPr>
        <sz val="11"/>
        <color theme="1"/>
        <rFont val="Calibri"/>
        <family val="2"/>
        <scheme val="minor"/>
      </rPr>
      <t>PERTENECE A ROMINA Underground Volcan Compania Minera – na</t>
    </r>
  </si>
  <si>
    <t>Pb</t>
  </si>
  <si>
    <t>Sn, Zn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</si>
  <si>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La Granja Open Pit Rio Tinto - 5,000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</si>
  <si>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Conga Open Pit Newmont Corporation Compania de Minas Buenaventura,Sumitomo Corporation 4,800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</si>
  <si>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El Galeno Open Pit China Minmetals Corporation Jiangxi Copper 3,500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</si>
  <si>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Los Chancas Open Pit Southern Copper Corporation - 2,600</t>
    </r>
  </si>
  <si>
    <t>Michiquillay Open Pit Southern Copper Corporation - 2,500</t>
  </si>
  <si>
    <r>
      <rPr>
        <sz val="7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Rio Blanco Open Pit Zijin Mining Group Co Xiamen C&amp;D Inc,Tongling Non-Ferrous Metals Group Holding 2,500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</si>
  <si>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La Arena Open Pit Pan American Silver - 2,450</t>
    </r>
  </si>
  <si>
    <t>Mina Justa Open Pit Minsur SA Empresas Copec 1,600</t>
  </si>
  <si>
    <r>
      <rPr>
        <sz val="7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Canariaco Open Pit Candente Copper - 1,571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</si>
  <si>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Cotabambas Open Pit Panoro Minerals - 1,530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</si>
  <si>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Tia Maria Open Pit Southern Copper Corporation - 1,400</t>
    </r>
  </si>
  <si>
    <t>Pb,Zn y Ag</t>
  </si>
  <si>
    <t xml:space="preserve">Pb,Zn </t>
  </si>
  <si>
    <t>Pb, Sn, Zn</t>
  </si>
  <si>
    <t>Pb, Zn</t>
  </si>
  <si>
    <t>San Gabriel Underground Compania de Minas Buenaventura na 431</t>
  </si>
  <si>
    <t>Ollachea Underground Minera IRL Limited na 126</t>
  </si>
  <si>
    <t>San Luis Underground SSR Mining na 90</t>
  </si>
  <si>
    <t>Invicta Underground Lupaka Gold na 12.7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</si>
  <si>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Antakori Open Pit / Underground Regulus Resources na na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</si>
  <si>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Hilarion Underground Nexa Resources – 750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</si>
  <si>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Corani Open Pit Bear Creek Mining – 579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</si>
  <si>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Florida Canyon Underground Nexa Resources Solitario Zinc Corp 296.4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</si>
  <si>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Shalipayco Underground Nexa Resources Pan American Silver 91.2</t>
    </r>
  </si>
  <si>
    <t xml:space="preserve">San Rafael Underground Operational Minsur SA </t>
  </si>
  <si>
    <t>CAPEX</t>
  </si>
  <si>
    <t xml:space="preserve">quellaveco, marcobre, soughan </t>
  </si>
  <si>
    <t xml:space="preserve">tiene equipos y esta funcionando </t>
  </si>
  <si>
    <t xml:space="preserve">son major digger? </t>
  </si>
  <si>
    <t xml:space="preserve">no son major diigger ? Entonces construcción </t>
  </si>
  <si>
    <t>Prioridad</t>
  </si>
  <si>
    <t>Estrategia</t>
  </si>
  <si>
    <t>Short</t>
  </si>
  <si>
    <t>Medium</t>
  </si>
  <si>
    <t>Long</t>
  </si>
  <si>
    <t>Underground</t>
  </si>
  <si>
    <t>Open Pit</t>
  </si>
  <si>
    <t>Open Pit &amp; Underground</t>
  </si>
  <si>
    <t>Tailing Reuse</t>
  </si>
  <si>
    <t xml:space="preserve">https://www.infobae.com/america/peru/2022/10/08/preocupacion-por-posible-paralizacion-de-mina-de-cobre-quellaveco-que-podria-impactar-negativamente-a-economia-peruana/ </t>
  </si>
  <si>
    <t xml:space="preserve">https://cdn.www.gob.pe/uploads/document/file/2997434/BEM02-2022.pdf.pdf </t>
  </si>
  <si>
    <t>Open Pit/ GreenField</t>
  </si>
  <si>
    <t>Underground/GreenField</t>
  </si>
  <si>
    <t>Underground/BrownField</t>
  </si>
  <si>
    <t>Greenfield</t>
  </si>
  <si>
    <t>BrownField</t>
  </si>
  <si>
    <t xml:space="preserve">Evaluación de Autorización de Exploración </t>
  </si>
  <si>
    <t>Ejecutando o Por ejecutar exploración</t>
  </si>
  <si>
    <t>Evaluación IGA</t>
  </si>
  <si>
    <t xml:space="preserve">Etapa de Prefactibilidad.   https://www.desdeadentro.pe/2022/02/cajamarca-minero-el-futuro-polo-de-desarrollo-nacional/ </t>
  </si>
  <si>
    <t>Etapa de Prefactibilidad.   https://cooperaccion.org.pe/noticias-ministerio-aprobo-plan-de-actividades-de-minera-rio-blanco/</t>
  </si>
  <si>
    <t xml:space="preserve">Etapa de Factibilidad. https://www.dipromin.com/noticias/mineria/canariaco-se-reformula-rumbo-a-factibilidad-pero-precio-de-cobre-limita-avance/ </t>
  </si>
  <si>
    <t xml:space="preserve">Etapa de Prefactibilidad. https://www.rumbominero.com/peru/noticias/mineria/proyecto-cotabambas/ </t>
  </si>
  <si>
    <t xml:space="preserve">Ingeniería de Detalle https://www.rcrperu.com/si-el-proyecto-tia-maria-empieza-a-operar-de-inmediato-recien-se-podra-creer-al-ministro-de-economia/ </t>
  </si>
  <si>
    <t xml:space="preserve">Etapa de Prefactibilidad. https://www.rumbominero.com/peru/noticias/mineria/nexa-proyecto-exploracion-hilarion/ </t>
  </si>
  <si>
    <t xml:space="preserve">Etapa de Prefactibilidad https://www.rumbominero.com/peru/proyecto-ayawilca-tinka-resources/ </t>
  </si>
  <si>
    <t xml:space="preserve">Etapa de Prefactibilidad https://cdn.www.gob.pe/uploads/document/file/2997434/BEM02-2022.pdf.pdf </t>
  </si>
  <si>
    <t>Etapa de Prefactibilidad https://www.rumbominero.com/peru/noticias/mineria/amazonas-exploracion-proyecto-zinc-canon-de-florida/</t>
  </si>
  <si>
    <t xml:space="preserve">Etapa de Factibilidad https://cdn.www.gob.pe/uploads/document/file/2997434/BEM02-2022.pdf.pdf </t>
  </si>
  <si>
    <t xml:space="preserve">Etapa de Construcción https://cdn.www.gob.pe/uploads/document/file/2997434/BEM02-2022.pdf.pdf </t>
  </si>
  <si>
    <t>https://www.solidaridadsouthamerica.org/news/minera-artesanal-san-luis-se-certific%C3%B3-en-oro-responsable/</t>
  </si>
  <si>
    <t>https://www.desdeadentro.pe/2022/06/nuevos-proyectos-mineros-permitiran-reducir-la-pobreza-en-apurimac-cusco-y-puno/</t>
  </si>
  <si>
    <t>https://www.rumbominero.com/peru/panoro-minerals-cierra-venta-del-proyecto-de-cobre-antilla/</t>
  </si>
  <si>
    <t>https://es.euronews.com/next/2022/05/17/mineria-peru-inversiones</t>
  </si>
  <si>
    <t>https://ojo-publico.com/3721/el-sector-minero-no-recupera-la-inversion-previa-la-pandemia</t>
  </si>
  <si>
    <t>https://camiper.com/tiempominero-noticias-en-mineria-para-el-peru-y-el-mundo/nuevo-corredor-minero-en-apurimac-respaldado-por-mineras-que-operan-en-la-region/</t>
  </si>
  <si>
    <t>https://www.rumbominero.com/peru/noticias/mineria/apurimac-cusco-y-puno-mas-s-3300-millones-canon-y-regalias/</t>
  </si>
  <si>
    <t>https://www.rumbominero.com/peru/noticias/mineria/consulta-previa-proyecto-coroccohuayco/</t>
  </si>
  <si>
    <t>https://www.desdeadentro.pe/2022/04/los-retos-de-construir-las-proximas-minas/</t>
  </si>
  <si>
    <t>https://cooperaccion.org.pe/uranio-en-la-ecuacion-del-litio-un-riesgo-que-podremos-superar/</t>
  </si>
  <si>
    <t>https://www.mineria-pa.com/noticias/proyecto-peruano-san-gabriel-podria-elevarse-hasta-los-usd-470-millones/</t>
  </si>
  <si>
    <t>https://muqui.org/noticias/huancavelica-minem-aprobara-proyecto-de-exploracion-pukaqaqa-sur-a-pesar-de-riesgo-hidrico/</t>
  </si>
  <si>
    <t>https://www.mineria-pa.com/noticias/peru-american-lithium-inicia-los-trabajos-de-prefactibilidad-en-proyecto-falchani/</t>
  </si>
  <si>
    <t>Huanuco</t>
  </si>
  <si>
    <t>Fecha de modificación</t>
  </si>
  <si>
    <t>https://www.infobae.com/america/peru/2022/09/15/newmont-vuelve-a-postergar-inversion-de-proyecto-minero-yanacocha-sulfuros/</t>
  </si>
  <si>
    <t>CONSTRUCTION PORTFOLIO</t>
  </si>
  <si>
    <t>EXPLORATION PORTFOLIO</t>
  </si>
  <si>
    <t>https://andina.pe/agencia/noticia-minem-avanza-hacia-lograr-destrabe-del-proyecto-ampliacion-toromocho-920314.aspx</t>
  </si>
  <si>
    <t>https://elcomercio.pe/economia/buenaventura-reinicia-construccion-de-proyecto-san-gabriel-con-una-inversion-de-hasta-us-470-millones-rmmn-noticia/</t>
  </si>
  <si>
    <t>https://www.petrotransp.net/sabias-que-existen-7-proyectos-mineros-que-se-realizan-este-2022</t>
  </si>
  <si>
    <t>https://www.rumbominero.com/peru/noticias/mineria/poderosa-capacidad-santa-maria-1000-tmd/</t>
  </si>
  <si>
    <t>http://www.elperuano.pe/noticia/198414-preven-mayor-produccion-de-cobre</t>
  </si>
  <si>
    <t>https://www.rumbominero.com/peru/noticias/mineria/jinzhao-mining-modificar-pampa-pongo/ 
https://www.desdeadentro.pe/2021/09/promueven-proyecto-pampa-de-pongo-con-metodologia-moderna/</t>
  </si>
  <si>
    <t>https://www.desdeadentro.pe/2022/09/borrador-automatico-minera-zafranal/</t>
  </si>
  <si>
    <t>Autorización de Exploración (AIE)</t>
  </si>
  <si>
    <t>https://energiminas.com/cajamarca-southern-peru-inicia-exploracion-minera-en-michiquillay-con-140-perforaciones-diamantinas/</t>
  </si>
  <si>
    <t>Compañía Minera Antamina S.A.</t>
  </si>
  <si>
    <t>REPOSICIÓN ANTAMINA</t>
  </si>
  <si>
    <t>Huari</t>
  </si>
  <si>
    <t>San Marcos</t>
  </si>
  <si>
    <r>
      <rPr>
        <b/>
        <sz val="11"/>
        <color theme="1"/>
        <rFont val="Calibri"/>
        <family val="2"/>
        <scheme val="minor"/>
      </rPr>
      <t>Información Complementaria</t>
    </r>
    <r>
      <rPr>
        <sz val="11"/>
        <color theme="1"/>
        <rFont val="Calibri"/>
        <family val="2"/>
        <scheme val="minor"/>
      </rPr>
      <t xml:space="preserve"> ( https://gestion.pe/economia/inversion-minera-mef-bcr-inversion-minera-con-cifras-negativas-para-el-mef-esta-caera-21-este-ano-y-24-el-2023-noticia/) (https://cdn.www.gob.pe/uploads/document/file/4058035/Cartera%20de%20Proyectos%20de%20Inversi%C3%B3n%20Minera%202023.pdf?v=1674323732https://cdn.www.gob.pe/uploads/document/file/4058035/Cartera%20de%20Proyectos%20de%20Inversi%C3%B3n%20Minera%202023.pdf?v=1674323732)</t>
    </r>
  </si>
  <si>
    <t xml:space="preserve">https://cdn.www.gob.pe/uploads/document/file/4058035/Cartera%20de%20Proyectos%20de%20Inversi%C3%B3n%20Minera%202023.pdf?v=1674323732https://cdn.www.gob.pe/uploads/document/file/4058035/Cartera%20de%20Proyectos%20de%20Inversi%C3%B3n%20Minera%202023.pdf?v=1674323732 </t>
  </si>
  <si>
    <t>AMPLIACIÓN ILO</t>
  </si>
  <si>
    <t>Ilo</t>
  </si>
  <si>
    <t>Ilo y Pacocha</t>
  </si>
  <si>
    <t xml:space="preserve">https://www.rumbominero.com/peru/noticias/mineria/buenaventura-proyecto-trapiche-cobre/ </t>
  </si>
  <si>
    <t>Compañía Minera Misky Mayo S.R.L.</t>
  </si>
  <si>
    <t>AMPLIACIÓN BAYOVAR</t>
  </si>
  <si>
    <t>Sechura</t>
  </si>
  <si>
    <t>Fosfatos</t>
  </si>
  <si>
    <t>No aplica</t>
  </si>
  <si>
    <t>AMPLIACIÓN CUAJONE</t>
  </si>
  <si>
    <t>NN</t>
  </si>
  <si>
    <t xml:space="preserve">CAÑARIACO </t>
  </si>
  <si>
    <t>CAÑÓN FLORIDA</t>
  </si>
  <si>
    <t>La Arena S.A.</t>
  </si>
  <si>
    <t>La Arena II</t>
  </si>
  <si>
    <t>Sanchez Carrión</t>
  </si>
  <si>
    <t>Huamachuco y Sanagorán</t>
  </si>
  <si>
    <t>Conceptual segun CPIM2023.   https://www.desdeadentro.pe/2022/02/cajamarca-minero-el-futuro-polo-de-desarrollo-nacional    https://www.rumbominero.com/peru/noticias/mineria/ultimo-minuto-la-granja-sigue-en-manos-de-rio-tinto-afirma-el-mem/attachment/ultimo-minuto-rio-tinto-seguira-proyecto-minero-la-granja-mem/</t>
  </si>
  <si>
    <t>REPOSICIÓN INMACULADA</t>
  </si>
  <si>
    <t>Compañía Minera Raura S.A.</t>
  </si>
  <si>
    <t>REPOSICIÓN RAURA</t>
  </si>
  <si>
    <t>Lauricocha/Oyón</t>
  </si>
  <si>
    <t>San Miguel de Cauri / Oyón</t>
  </si>
  <si>
    <t>Compañía Minera Coimolache S.A.</t>
  </si>
  <si>
    <t>REPOSICIÓN TANTAHUATAY</t>
  </si>
  <si>
    <t>Open pit/ Brownfield</t>
  </si>
  <si>
    <t>Hualgayoc</t>
  </si>
  <si>
    <t>Hualgayoc y Chugur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</si>
</sst>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000000"/>
    <numFmt numFmtId="165" formatCode="0.000000"/>
    <numFmt numFmtId="166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  <font>
      <sz val="11"/>
      <color theme="1"/>
      <name val="Calibri"/>
      <family val="1"/>
      <scheme val="minor"/>
    </font>
    <font>
      <sz val="8"/>
      <name val="Calibri"/>
      <family val="2"/>
      <scheme val="minor"/>
    </font>
    <font>
      <sz val="11"/>
      <color rgb="FF000000"/>
      <name val="Calibri"/>
      <family val="1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54">
    <xf numFmtId="0" fontId="0" fillId="0" borderId="0" xfId="0"/>
    <xf numFmtId="1" fontId="13" fillId="33" borderId="0" xfId="0" applyNumberFormat="1" applyFont="1" applyFill="1" applyAlignment="1">
      <alignment horizontal="center" vertical="center"/>
    </xf>
    <xf numFmtId="1" fontId="13" fillId="33" borderId="0" xfId="0" applyNumberFormat="1" applyFont="1" applyFill="1" applyAlignment="1">
      <alignment horizontal="left" vertical="center"/>
    </xf>
    <xf numFmtId="164" fontId="13" fillId="3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" fontId="0" fillId="0" borderId="10" xfId="0" applyNumberFormat="1" applyBorder="1" applyAlignment="1">
      <alignment horizontal="left" vertical="center"/>
    </xf>
    <xf numFmtId="1" fontId="0" fillId="0" borderId="10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left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 wrapText="1"/>
    </xf>
    <xf numFmtId="1" fontId="16" fillId="34" borderId="10" xfId="0" applyNumberFormat="1" applyFont="1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vertical="center"/>
    </xf>
    <xf numFmtId="1" fontId="16" fillId="0" borderId="1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6" fillId="34" borderId="1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165" fontId="0" fillId="0" borderId="10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66" fontId="0" fillId="0" borderId="0" xfId="42" applyNumberFormat="1" applyFont="1" applyAlignment="1">
      <alignment vertical="center"/>
    </xf>
    <xf numFmtId="166" fontId="0" fillId="0" borderId="0" xfId="42" applyNumberFormat="1" applyFont="1" applyAlignment="1">
      <alignment horizontal="right" vertical="center"/>
    </xf>
    <xf numFmtId="166" fontId="0" fillId="0" borderId="0" xfId="42" applyNumberFormat="1" applyFont="1" applyFill="1" applyAlignment="1">
      <alignment vertical="center"/>
    </xf>
    <xf numFmtId="0" fontId="0" fillId="0" borderId="0" xfId="0" applyAlignment="1">
      <alignment horizontal="left" indent="4"/>
    </xf>
    <xf numFmtId="0" fontId="0" fillId="35" borderId="0" xfId="0" applyFill="1"/>
    <xf numFmtId="0" fontId="0" fillId="0" borderId="0" xfId="0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0" fillId="35" borderId="0" xfId="0" applyFill="1" applyAlignment="1">
      <alignment horizontal="center"/>
    </xf>
    <xf numFmtId="3" fontId="0" fillId="0" borderId="0" xfId="0" applyNumberFormat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19" fillId="36" borderId="0" xfId="0" applyFont="1" applyFill="1"/>
    <xf numFmtId="0" fontId="23" fillId="0" borderId="0" xfId="0" applyFont="1" applyAlignment="1">
      <alignment horizontal="justify" vertical="center"/>
    </xf>
    <xf numFmtId="0" fontId="21" fillId="37" borderId="0" xfId="0" applyFont="1" applyFill="1" applyAlignment="1">
      <alignment horizontal="justify" vertical="center"/>
    </xf>
    <xf numFmtId="0" fontId="0" fillId="37" borderId="0" xfId="0" applyFill="1" applyAlignment="1">
      <alignment horizontal="justify" vertical="center"/>
    </xf>
    <xf numFmtId="0" fontId="0" fillId="37" borderId="0" xfId="0" applyFill="1"/>
    <xf numFmtId="0" fontId="19" fillId="37" borderId="0" xfId="0" applyFont="1" applyFill="1" applyAlignment="1">
      <alignment horizontal="justify" vertical="center"/>
    </xf>
    <xf numFmtId="0" fontId="0" fillId="0" borderId="10" xfId="0" applyBorder="1" applyAlignment="1">
      <alignment horizontal="center" vertical="center"/>
    </xf>
    <xf numFmtId="0" fontId="24" fillId="0" borderId="0" xfId="43" applyAlignment="1">
      <alignment vertical="center"/>
    </xf>
    <xf numFmtId="16" fontId="0" fillId="0" borderId="0" xfId="0" applyNumberFormat="1" applyAlignment="1">
      <alignment vertical="center"/>
    </xf>
    <xf numFmtId="1" fontId="16" fillId="38" borderId="10" xfId="0" applyNumberFormat="1" applyFont="1" applyFill="1" applyBorder="1" applyAlignment="1">
      <alignment horizontal="center" vertical="center"/>
    </xf>
    <xf numFmtId="1" fontId="16" fillId="39" borderId="10" xfId="0" applyNumberFormat="1" applyFont="1" applyFill="1" applyBorder="1" applyAlignment="1">
      <alignment horizontal="center" vertical="center"/>
    </xf>
    <xf numFmtId="164" fontId="13" fillId="33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24" fillId="0" borderId="0" xfId="43" applyAlignment="1">
      <alignment vertical="center" wrapText="1"/>
    </xf>
    <xf numFmtId="0" fontId="0" fillId="0" borderId="0" xfId="0" applyAlignment="1">
      <alignment wrapText="1"/>
    </xf>
    <xf numFmtId="1" fontId="16" fillId="40" borderId="10" xfId="0" applyNumberFormat="1" applyFont="1" applyFill="1" applyBorder="1" applyAlignment="1">
      <alignment horizontal="center" vertical="center"/>
    </xf>
    <xf numFmtId="1" fontId="16" fillId="40" borderId="10" xfId="0" applyNumberFormat="1" applyFont="1" applyFill="1" applyBorder="1" applyAlignment="1">
      <alignment horizontal="center" vertical="center" wrapText="1"/>
    </xf>
    <xf numFmtId="1" fontId="0" fillId="0" borderId="11" xfId="0" applyNumberFormat="1" applyBorder="1" applyAlignment="1">
      <alignment horizontal="left" vertical="center" wrapText="1"/>
    </xf>
    <xf numFmtId="0" fontId="0" fillId="38" borderId="0" xfId="0" applyFill="1" applyAlignment="1">
      <alignment horizontal="center"/>
    </xf>
    <xf numFmtId="1" fontId="16" fillId="37" borderId="10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3" builtinId="8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0000000000"/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" refreshedDate="44867.365458217595" createdVersion="7" refreshedVersion="7" minRefreshableVersion="3" recordCount="107" xr:uid="{AF1F2FA1-40D4-4A4B-8B7D-6A5CE191B4C5}">
  <cacheSource type="worksheet">
    <worksheetSource ref="A1:L1048576" sheet="PRINCIPALES PROYECTOS 2022"/>
  </cacheSource>
  <cacheFields count="12">
    <cacheField name="ID" numFmtId="0">
      <sharedItems containsString="0" containsBlank="1" containsNumber="1" containsInteger="1" minValue="1" maxValue="106"/>
    </cacheField>
    <cacheField name="CLASIFICACIÓN" numFmtId="0">
      <sharedItems containsBlank="1" count="3">
        <s v="CARTERA DE CONSTRUCCIÓN DE MINA"/>
        <s v="CARTERA DE EXPLORACIÓN MINERA"/>
        <m/>
      </sharedItems>
    </cacheField>
    <cacheField name="EMPRESA" numFmtId="0">
      <sharedItems containsBlank="1" count="78">
        <s v="Procesadora Industrial Río Seco S.A."/>
        <s v="Minera Shouxin Peru S.A.C."/>
        <s v="Minera Las Bambas S.A."/>
        <s v="ICM Pachapaqui S.A.C."/>
        <s v="Compañ¡a Minera Poderosa S.A."/>
        <s v="Minera Chinalco Perú S.A."/>
        <s v="Panoro Apurímac S.A."/>
        <s v="Ariana Operaciones Mineras S.A.C"/>
        <s v="Tinka Resources S.A.C"/>
        <s v="Exploraciones Collasuyo S.A.C."/>
        <s v="Cañariaco Copper Perú S.A."/>
        <s v="Nexa Resources Perú. S.A.A."/>
        <s v="Minera Yanacocha S.R.L."/>
        <s v="Bear Creek Mining S.A.C."/>
        <s v="Junefield Group S.A."/>
        <s v="Lumina Copper S.A.C."/>
        <s v="Minera Antares Perú S.A.C."/>
        <s v="Apurímac Ferrum S.A."/>
        <s v="Compañ¡a Minera Ares S.A.C."/>
        <s v="Compañ¡a Minera Antapaccay S.A."/>
        <s v="Rio Tinto Minera Perú Limitada S.A.C."/>
        <s v="Minera Hampton Perú S.A.C"/>
        <s v="Southern Perú Copper Corporation, Sucursal del Perú"/>
        <s v="Macusani Yellowcake S.A.C."/>
        <s v="Compañia de Minas Buenaventura S.A.A."/>
        <s v="Minera Kuri Kullu S.A."/>
        <s v="Jinzhao Mining Perú S.A."/>
        <s v="Compañ¡a Minera Quechua S.A."/>
        <s v="Anglo American Quellaveco S.A."/>
        <s v="Rio Blanco Copper S.A."/>
        <s v="Compañ¡a de Minas Buenaventura S.A.A."/>
        <s v="Reliant Ventures S.A.C."/>
        <s v="El Molle Verde S.A.C."/>
        <s v="Compañ¡a Minera Zafranal S.A.C."/>
        <s v="Minera Cappex S.A.C"/>
        <s v="Compañía Minera Mohicano S.A.C."/>
        <s v="Vale Exploration Perú S.A.C."/>
        <s v="Compañía Minera Ares S.A.C."/>
        <s v="Nexa Resources Perú S.A.A."/>
        <s v="Minera Forrester S.A.C."/>
        <s v="Compañía Minera Chungar S.A.C."/>
        <s v="Minera Bateas S.A.C."/>
        <s v="Camino Resources S.A.C."/>
        <s v="Cori Puno S.A.C."/>
        <s v="Huarmy Colosal S.A.C."/>
        <s v="Magma Minerals S.A.C."/>
        <s v="Sociedad Minera Reliquias S.A.C."/>
        <s v="Nexa Resources El Porvenir S.A.C."/>
        <s v="Winshear de Perú S.A.C"/>
        <s v="Condor Exploration Perú S.A.C."/>
        <s v="Newmont Perú S.R.L."/>
        <s v="Minera La Zanja S.R.L."/>
        <s v="Compañía Minera Poderosa S.A."/>
        <s v="Black Swan Minerals S.A.C."/>
        <s v="Hudbay Perú S.A.C."/>
        <s v="Consorcio Minero Sunec S.A.C."/>
        <s v="Pucara Resources S.A.C."/>
        <s v="Pan American Silver Huaron S.A."/>
        <s v="Minera María Cecilia Ltd. - Sucursal Perú"/>
        <s v="Compañía Minera Barbastro S.A.C."/>
        <s v="Sumitomo Metal Mining Perú S.A."/>
        <s v="Minera Pampa de Cobre S.A.C."/>
        <s v="Oz Minerals Perú S.A.C."/>
        <s v="Minera Peñoles de Perú S.A."/>
        <s v="Minsur S.A."/>
        <s v="Brillandino Minerales S.A.C."/>
        <s v="Amg-Auplata Mining Group Perú S.A.C"/>
        <s v="Trevali Perú S.A.C."/>
        <s v="Fresnillo Perú S.A.C."/>
        <s v="Alpha Mining S.A.C."/>
        <s v="Chakana Resources S.A.C."/>
        <s v="Sombrero Minerales S.A.C."/>
        <s v="Rio Tinto Mining and Exploration S.A.C."/>
        <s v="Compañía Tumipampa S.A.C."/>
        <s v="Palamina S.A.C"/>
        <s v="Sociedad Minera Corona S.A."/>
        <s v="Volcan Compañía Minera S.A.A."/>
        <m/>
      </sharedItems>
    </cacheField>
    <cacheField name="PROYECTO" numFmtId="0">
      <sharedItems containsBlank="1" count="106">
        <s v="PLANTA DE COBRE RIO SECO"/>
        <s v="AMPLIACIÓN SHOUXIN"/>
        <s v="CHALCOBAMBA FASE I"/>
        <s v="AMPLIACIÓN PACHAPAQUI"/>
        <s v="AMPLIACIÓN SANTA MAR¡A"/>
        <s v="AMPLIACIÓN TOROMOCHO"/>
        <s v="ANTILLA"/>
        <s v="ARIANA"/>
        <s v="AYAWILCA"/>
        <s v="AZOD (ACCHA Y YANQUE)"/>
        <s v="CAÑARIACO NORTE"/>
        <s v="CAÑÓN FLORIDA (EX BONGARÁ)"/>
        <s v="CONGA"/>
        <s v="CORANI"/>
        <s v="COTABAMBAS"/>
        <s v="DON JAVIER"/>
        <s v="EL GALENO"/>
        <s v="HILARIÓN"/>
        <s v="HAQUIRA"/>
        <s v="HIERRO APURIMAC"/>
        <s v="OPTIMIZACION INMACULADA"/>
        <s v="INTEGRACION COROCCOHUAYCO"/>
        <s v="LA GRANJA"/>
        <s v="LOS CALATOS"/>
        <s v="LOS CHANCAS"/>
        <s v="MACUSANI"/>
        <s v="MAGISTRAL"/>
        <s v="MICHIQUILLAY"/>
        <s v="YUMPAG"/>
        <s v="OLLACHEA"/>
        <s v="PAMPA DE PONGO"/>
        <s v="PUKAQAQA"/>
        <s v="QUECHUA"/>
        <s v="QUELLAVECO"/>
        <s v="RIO BLANCO"/>
        <s v="SAN GABRIEL"/>
        <s v="SAN LUIS"/>
        <s v="SHALIPAYCO"/>
        <s v="T¡A MAR¡A"/>
        <s v="TRAPICHE"/>
        <s v="YANACOCHA SULFUROS"/>
        <s v="ZAFRANAL"/>
        <s v="FALCHANI"/>
        <s v="ALTA VICTORIA"/>
        <s v="AMAUTA"/>
        <s v="APACHETA"/>
        <s v="ARCATA"/>
        <s v="AZULMINA"/>
        <s v="BONGARÁ"/>
        <s v="CARHUACAYÁN"/>
        <s v="CAYLLOMA"/>
        <s v="CERRO NEGRO"/>
        <s v="CHAPITOS"/>
        <s v="COCHACUCHO Y MYLAGROS"/>
        <s v="COCHALOMA"/>
        <s v="COLORADO"/>
        <s v="COLOSO"/>
        <s v="CORVINÓN"/>
        <s v="CRESPO II"/>
        <s v="CURIBAYA"/>
        <s v="DORITA"/>
        <s v="EL CARMEN"/>
        <s v="EL PORVENIR"/>
        <s v="EPOSUYAY"/>
        <s v="GABÁN"/>
        <s v="HUACULLO"/>
        <s v="HUIÑAC PUNTA"/>
        <s v="ILLARI"/>
        <s v="ILUMINADORA"/>
        <s v="LA ZANJA"/>
        <s v="LAS DEFENSAS"/>
        <s v="LEZARD"/>
        <s v="LLAGUÉN"/>
        <s v="LOMA LINDA"/>
        <s v="LOS PERDIDOS II"/>
        <s v="LOURDES"/>
        <s v="MALPASO II"/>
        <s v="MARÍA CECILIA DOS"/>
        <s v="MINA MARTA"/>
        <s v="MISCANTHUS"/>
        <s v="PABLO SUR"/>
        <s v="PALCA"/>
        <s v="PAMPA NEGRA"/>
        <s v="PARAÍSO"/>
        <s v="PUCAJIRCA"/>
        <s v="PUCASALLA"/>
        <s v="QUEHUINCHA"/>
        <s v="QUENAMARI"/>
        <s v="QUIMSACHATA"/>
        <s v="RIQUEZA"/>
        <s v="ROMINA 2"/>
        <s v="SAN ANTONIO"/>
        <s v="SAN JOSÉ"/>
        <s v="SAN MIGUEL"/>
        <s v="SANTANDER"/>
        <s v="SANTO DOMINGO"/>
        <s v="SCORPIUS"/>
        <s v="SOLEDAD"/>
        <s v="SOMBRERO"/>
        <s v="SUYAWI"/>
        <s v="TUMIPAMPA SUR"/>
        <s v="USICAYOS"/>
        <s v="YANACOCHITA II"/>
        <s v="YAURICOCHA"/>
        <s v="ZORAIDA II"/>
        <m/>
      </sharedItems>
    </cacheField>
    <cacheField name="REGIÓN" numFmtId="0">
      <sharedItems containsBlank="1" count="22">
        <s v="Lima"/>
        <s v="Ica"/>
        <s v="Apurimac"/>
        <s v="Áncash"/>
        <s v="La Libertad"/>
        <s v="Junín"/>
        <s v="Pasco"/>
        <s v="Cusco"/>
        <s v="Lambayeque"/>
        <s v="Amazonas"/>
        <s v="Cajamarca"/>
        <s v="Puno"/>
        <s v="Arequipa"/>
        <s v="Ayacucho"/>
        <s v="Moquegua"/>
        <s v="Huancavelica"/>
        <s v="Piura"/>
        <s v="Tacna"/>
        <s v="Huánuco"/>
        <m/>
        <s v="Ica / Lima" u="1"/>
        <s v="Apurímac" u="1"/>
      </sharedItems>
    </cacheField>
    <cacheField name="PROVINCIA" numFmtId="0">
      <sharedItems containsBlank="1" count="65">
        <s v="Huaral"/>
        <s v="Nazca"/>
        <s v="Cotabambas"/>
        <s v="Bolognesi"/>
        <s v="Pataz"/>
        <s v="Yauli"/>
        <s v="Antabamba"/>
        <s v="Daniel Alcides Carrión"/>
        <s v="Paruro"/>
        <s v="Ferreñafe"/>
        <s v="Bongará"/>
        <s v="Celendín y Cajamarca"/>
        <s v="Carabaya"/>
        <s v="Arequipa"/>
        <s v="Cotabambas y Grau"/>
        <s v="Andahuaylas"/>
        <s v="Paucar del Sara Sara"/>
        <s v="Espinar"/>
        <s v="Chota"/>
        <s v="Mariscal Nieto"/>
        <s v="Aymaraes"/>
        <s v="Pallasca"/>
        <s v="Cajamarca"/>
        <s v="Daniel Alcidez Carrión"/>
        <s v="Caravelí"/>
        <s v="Huancavelica"/>
        <s v="Huancabamba"/>
        <s v="Sáínchez Cerro"/>
        <s v="Yungay"/>
        <s v="Junín"/>
        <s v="Islay"/>
        <s v="Castilla y Caylloma"/>
        <s v="Huaytarí"/>
        <s v="Condesuyos"/>
        <s v="Caylloma"/>
        <s v="Sandia"/>
        <s v="Parinacochas"/>
        <s v="Huarmey"/>
        <s v="Jorge Basadre"/>
        <s v="Chumbivilcas"/>
        <s v="Tacna"/>
        <s v="Castrovirreyna"/>
        <s v="Chincha"/>
        <s v="Pasco"/>
        <s v="Otuzco"/>
        <s v="Yarowilca"/>
        <s v="Huaur, Oyón"/>
        <s v="Castilla"/>
        <s v="Santa Cruz; San Miguel"/>
        <s v="Pachitea, Pasco"/>
        <s v="Áncash"/>
        <s v="Lucanas"/>
        <s v="Ambo"/>
        <s v="Huaylas"/>
        <s v="General Sanchez Cerro"/>
        <s v="Corongo, Sihuas"/>
        <s v="Chincha / Cañete"/>
        <s v="Yauli, Huaral"/>
        <s v="Grau"/>
        <s v="Huanca Sancos"/>
        <s v="Aija"/>
        <s v="Candarave"/>
        <s v="Abancay, Antabamba"/>
        <s v="Yauyos"/>
        <m/>
      </sharedItems>
    </cacheField>
    <cacheField name="DISTRITO" numFmtId="0">
      <sharedItems containsBlank="1" count="96">
        <s v="Huaral"/>
        <s v="Marcona"/>
        <s v="Challhuahuacho, Coylluriqui, Tambopata y Grau"/>
        <s v="Aquia"/>
        <s v="Pataz"/>
        <s v="Morococha"/>
        <s v="Sabaino"/>
        <s v="Marcapomacocha"/>
        <s v="Yanahuanca"/>
        <s v="Accha"/>
        <s v="Cañaris"/>
        <s v="Florida y Yambrasbamba"/>
        <s v="Sorochuco, Huasmin y La Encañada"/>
        <s v="Corani"/>
        <s v="Cotabambas"/>
        <s v="Yarabamba"/>
        <s v="Sorochuco y La Encañada"/>
        <s v="Chalhuahuacho y Progreso"/>
        <s v="Andahuaylas"/>
        <s v="Oyolo , San Javier de Alpabamba"/>
        <s v="Espinar"/>
        <s v="Querocoto"/>
        <s v="Moquegua y Torata"/>
        <s v="Tapapyrihua"/>
        <s v="Corani y Macusani"/>
        <s v="Conchucos"/>
        <s v="La Encañada"/>
        <s v="Ollachea"/>
        <s v="Bella Unión y Lomas"/>
        <s v="Huando, Ascensión y Huancavelica"/>
        <s v="Torata"/>
        <s v="El Carmen de la Frontera"/>
        <s v="Ichuña"/>
        <s v="Shupluy"/>
        <s v="Carhuamayo"/>
        <s v="Cocachacra, Mejía y Dean Valdivia"/>
        <s v="Juan Espinoza Medrano"/>
        <s v="Cajamarcar, La Encañada y Los Baños del Inca"/>
        <s v="Huancarqui, Lluta y Majes"/>
        <s v="Acarí"/>
        <s v="Pilpichaca"/>
        <s v="Cayarani"/>
        <s v="Huallanca"/>
        <s v="Yambrasbamba"/>
        <s v="Santa Barbara de Carhuacayán"/>
        <s v="Caylloma"/>
        <s v="Cajamarca"/>
        <s v="Atiquipa"/>
        <s v="Quiaca"/>
        <s v="Coronel Castañeda"/>
        <s v="Huarmey"/>
        <s v="Ite"/>
        <s v="Santo Tomas"/>
        <s v="Inclan"/>
        <s v="Castrovirreyna"/>
        <s v="El Carmen"/>
        <s v="San Francisco de Asís de Yarusyacán, Yanacancha"/>
        <s v="Otuzco"/>
        <s v="San Gaban"/>
        <s v="Oropesa"/>
        <s v="Chavinillo"/>
        <s v="Ámbar, Cochamarca"/>
        <s v="Uñón"/>
        <s v="Catache, Pulán; Tongod"/>
        <s v="Aucallama"/>
        <s v="Sinsicap"/>
        <s v="Panao, Ticlacayán"/>
        <s v="Huanchay, Coris"/>
        <s v="Chaviña, Puquio"/>
        <s v="San Francisco"/>
        <s v="Pamparomás"/>
        <s v="Huando"/>
        <s v="Otoca, Leoncio Prado"/>
        <s v="La Capilla"/>
        <s v="Chaparra"/>
        <s v="Cusca, Cashapampa"/>
        <s v="Chavín / Lunahuaná"/>
        <s v="Livitaca"/>
        <s v="Ajoyani"/>
        <s v="Callalli"/>
        <s v="Acobambilla"/>
        <s v="Santa Barbara de Carhuacayán, Santa Cruz de Andamarca"/>
        <s v="Micaela Bastidas"/>
        <s v="Los Baños del Inca"/>
        <s v="Suyckutambo"/>
        <s v="Santa Cruz de Andamarca"/>
        <s v="Antabamba"/>
        <s v="Sancos"/>
        <s v="Aija"/>
        <s v="Sancos, Santiago de Lucanamarca"/>
        <s v="Camilaca"/>
        <s v="Circa, El Oro"/>
        <s v="Usicayos"/>
        <s v="Alis, Laraos"/>
        <s v="Suitucancha"/>
        <m/>
      </sharedItems>
    </cacheField>
    <cacheField name="PRODUCTO" numFmtId="0">
      <sharedItems containsBlank="1" count="27">
        <s v="Cu"/>
        <s v="Fe"/>
        <s v="Zn, Pb, Ag, Cu"/>
        <s v="Au"/>
        <s v="Cu, Mo"/>
        <s v="Cu, Ag, Au, Zn"/>
        <s v="Zn,Pb,Ag"/>
        <s v="Zn, Pb"/>
        <s v="Zn, Pb, Ag"/>
        <s v="Au, Cu"/>
        <s v="Ag, Pb, Zn"/>
        <s v="Cu, Au, Ag"/>
        <s v="Cu, Au, Ag, Mo"/>
        <s v="Zn, Ag, Pb"/>
        <s v="Cu-Mo"/>
        <s v="Au, Ag"/>
        <s v="U"/>
        <s v="Ag, Pb, Mn, Hi, Au"/>
        <s v="Cu, Au"/>
        <s v="Au y Ag"/>
        <s v="Li"/>
        <s v="Ag"/>
        <s v="Zn"/>
        <s v="Ag, Cu, Zn, Pb"/>
        <s v="Sn"/>
        <s v="Cu, Ag"/>
        <m/>
      </sharedItems>
    </cacheField>
    <cacheField name="LONGITUD" numFmtId="0">
      <sharedItems containsString="0" containsBlank="1" containsNumber="1" minValue="-79.350887" maxValue="-69.419051412900004"/>
    </cacheField>
    <cacheField name="LATITUD" numFmtId="0">
      <sharedItems containsString="0" containsBlank="1" containsNumber="1" minValue="-17.792143062000001" maxValue="-4.881691"/>
    </cacheField>
    <cacheField name="VIDA UTIL (Años)" numFmtId="0">
      <sharedItems containsString="0" containsBlank="1" containsNumber="1" minValue="3.5" maxValue="40"/>
    </cacheField>
    <cacheField name="TIPO" numFmtId="0">
      <sharedItems containsBlank="1" count="5">
        <m/>
        <s v="Reaprovechamiento Relaves"/>
        <s v="Tajo Abierto"/>
        <s v="Subterránea"/>
        <s v="Tajo abierto y subterran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1"/>
    <x v="0"/>
    <x v="0"/>
    <x v="0"/>
    <x v="0"/>
    <x v="0"/>
    <x v="0"/>
    <x v="0"/>
    <n v="-77.295468"/>
    <n v="-11.363156999999999"/>
    <m/>
    <x v="0"/>
  </r>
  <r>
    <n v="2"/>
    <x v="0"/>
    <x v="1"/>
    <x v="1"/>
    <x v="1"/>
    <x v="1"/>
    <x v="1"/>
    <x v="1"/>
    <n v="-75.209040999999999"/>
    <n v="-15.273638"/>
    <n v="16"/>
    <x v="1"/>
  </r>
  <r>
    <n v="3"/>
    <x v="0"/>
    <x v="2"/>
    <x v="2"/>
    <x v="2"/>
    <x v="2"/>
    <x v="2"/>
    <x v="0"/>
    <n v="-72.295721"/>
    <n v="-14.060765"/>
    <n v="8"/>
    <x v="2"/>
  </r>
  <r>
    <n v="4"/>
    <x v="0"/>
    <x v="3"/>
    <x v="3"/>
    <x v="3"/>
    <x v="3"/>
    <x v="3"/>
    <x v="2"/>
    <n v="-77.056014000000005"/>
    <n v="-9.9501229999999996"/>
    <n v="11"/>
    <x v="3"/>
  </r>
  <r>
    <n v="5"/>
    <x v="0"/>
    <x v="4"/>
    <x v="4"/>
    <x v="4"/>
    <x v="4"/>
    <x v="4"/>
    <x v="3"/>
    <n v="-77.589112999999998"/>
    <n v="-7.7745009999999999"/>
    <n v="22"/>
    <x v="3"/>
  </r>
  <r>
    <n v="6"/>
    <x v="0"/>
    <x v="5"/>
    <x v="5"/>
    <x v="5"/>
    <x v="5"/>
    <x v="5"/>
    <x v="0"/>
    <n v="-76.143247000000002"/>
    <n v="-11.608978"/>
    <n v="25"/>
    <x v="2"/>
  </r>
  <r>
    <n v="7"/>
    <x v="0"/>
    <x v="6"/>
    <x v="6"/>
    <x v="2"/>
    <x v="6"/>
    <x v="6"/>
    <x v="4"/>
    <n v="-72.964652206699995"/>
    <n v="-14.339387541100001"/>
    <n v="17"/>
    <x v="2"/>
  </r>
  <r>
    <n v="8"/>
    <x v="0"/>
    <x v="7"/>
    <x v="7"/>
    <x v="5"/>
    <x v="5"/>
    <x v="7"/>
    <x v="5"/>
    <n v="-76.334322"/>
    <n v="-11.487183999999999"/>
    <n v="10"/>
    <x v="3"/>
  </r>
  <r>
    <n v="9"/>
    <x v="0"/>
    <x v="8"/>
    <x v="8"/>
    <x v="6"/>
    <x v="7"/>
    <x v="8"/>
    <x v="6"/>
    <n v="-76.522051000000005"/>
    <n v="-10.43838"/>
    <m/>
    <x v="0"/>
  </r>
  <r>
    <n v="10"/>
    <x v="0"/>
    <x v="9"/>
    <x v="9"/>
    <x v="7"/>
    <x v="8"/>
    <x v="9"/>
    <x v="7"/>
    <n v="-71.896941999999996"/>
    <n v="-13.971626000000001"/>
    <n v="6"/>
    <x v="4"/>
  </r>
  <r>
    <n v="11"/>
    <x v="0"/>
    <x v="10"/>
    <x v="10"/>
    <x v="8"/>
    <x v="9"/>
    <x v="10"/>
    <x v="0"/>
    <n v="-79.269188999999997"/>
    <n v="-6.0934340000000002"/>
    <m/>
    <x v="0"/>
  </r>
  <r>
    <n v="12"/>
    <x v="0"/>
    <x v="11"/>
    <x v="11"/>
    <x v="9"/>
    <x v="10"/>
    <x v="11"/>
    <x v="8"/>
    <n v="-78.063152000000002"/>
    <n v="-5.8491010000000001"/>
    <m/>
    <x v="0"/>
  </r>
  <r>
    <n v="13"/>
    <x v="0"/>
    <x v="12"/>
    <x v="12"/>
    <x v="10"/>
    <x v="11"/>
    <x v="12"/>
    <x v="9"/>
    <n v="-78.368548000000004"/>
    <n v="-6.9041439999999996"/>
    <n v="19"/>
    <x v="2"/>
  </r>
  <r>
    <n v="14"/>
    <x v="0"/>
    <x v="13"/>
    <x v="13"/>
    <x v="11"/>
    <x v="12"/>
    <x v="13"/>
    <x v="10"/>
    <n v="-70.647107000000005"/>
    <n v="-13.932463"/>
    <m/>
    <x v="0"/>
  </r>
  <r>
    <n v="15"/>
    <x v="0"/>
    <x v="6"/>
    <x v="14"/>
    <x v="2"/>
    <x v="2"/>
    <x v="14"/>
    <x v="11"/>
    <n v="-72.359508000000005"/>
    <n v="-13.737256"/>
    <n v="20"/>
    <x v="2"/>
  </r>
  <r>
    <n v="16"/>
    <x v="0"/>
    <x v="14"/>
    <x v="15"/>
    <x v="12"/>
    <x v="13"/>
    <x v="15"/>
    <x v="4"/>
    <n v="-71.453033000000005"/>
    <n v="-16.622215000000001"/>
    <n v="15"/>
    <x v="2"/>
  </r>
  <r>
    <n v="17"/>
    <x v="0"/>
    <x v="15"/>
    <x v="16"/>
    <x v="10"/>
    <x v="11"/>
    <x v="16"/>
    <x v="12"/>
    <n v="-78.322522000000006"/>
    <n v="-6.971533"/>
    <n v="20"/>
    <x v="2"/>
  </r>
  <r>
    <n v="18"/>
    <x v="0"/>
    <x v="11"/>
    <x v="17"/>
    <x v="3"/>
    <x v="3"/>
    <x v="3"/>
    <x v="13"/>
    <n v="-77.009495999999999"/>
    <n v="-9.9809730000000005"/>
    <n v="16"/>
    <x v="3"/>
  </r>
  <r>
    <n v="19"/>
    <x v="0"/>
    <x v="16"/>
    <x v="18"/>
    <x v="2"/>
    <x v="14"/>
    <x v="17"/>
    <x v="14"/>
    <n v="-72.341581000000005"/>
    <n v="-14.150339000000001"/>
    <n v="20"/>
    <x v="4"/>
  </r>
  <r>
    <n v="20"/>
    <x v="0"/>
    <x v="17"/>
    <x v="19"/>
    <x v="2"/>
    <x v="15"/>
    <x v="18"/>
    <x v="1"/>
    <n v="-73.326554000000002"/>
    <n v="-13.728662"/>
    <n v="20"/>
    <x v="2"/>
  </r>
  <r>
    <n v="21"/>
    <x v="0"/>
    <x v="18"/>
    <x v="20"/>
    <x v="13"/>
    <x v="16"/>
    <x v="19"/>
    <x v="15"/>
    <n v="-73.235045"/>
    <n v="-14.953450999999999"/>
    <m/>
    <x v="0"/>
  </r>
  <r>
    <n v="22"/>
    <x v="0"/>
    <x v="19"/>
    <x v="21"/>
    <x v="7"/>
    <x v="17"/>
    <x v="20"/>
    <x v="0"/>
    <n v="-71.267426"/>
    <n v="-14.951765999999999"/>
    <n v="25"/>
    <x v="2"/>
  </r>
  <r>
    <n v="23"/>
    <x v="0"/>
    <x v="20"/>
    <x v="22"/>
    <x v="10"/>
    <x v="18"/>
    <x v="21"/>
    <x v="0"/>
    <n v="-79.124661000000003"/>
    <n v="-6.3526860000000003"/>
    <n v="40"/>
    <x v="2"/>
  </r>
  <r>
    <n v="24"/>
    <x v="0"/>
    <x v="21"/>
    <x v="23"/>
    <x v="14"/>
    <x v="19"/>
    <x v="22"/>
    <x v="14"/>
    <n v="-71.004155999999995"/>
    <n v="-16.888245999999999"/>
    <n v="22"/>
    <x v="3"/>
  </r>
  <r>
    <n v="25"/>
    <x v="0"/>
    <x v="22"/>
    <x v="24"/>
    <x v="2"/>
    <x v="20"/>
    <x v="23"/>
    <x v="0"/>
    <n v="-73.121125000000006"/>
    <n v="-14.160418999999999"/>
    <n v="18"/>
    <x v="2"/>
  </r>
  <r>
    <n v="26"/>
    <x v="0"/>
    <x v="23"/>
    <x v="25"/>
    <x v="11"/>
    <x v="12"/>
    <x v="24"/>
    <x v="16"/>
    <n v="-70.536387000000005"/>
    <n v="-13.916093"/>
    <m/>
    <x v="0"/>
  </r>
  <r>
    <n v="27"/>
    <x v="0"/>
    <x v="11"/>
    <x v="26"/>
    <x v="3"/>
    <x v="21"/>
    <x v="25"/>
    <x v="0"/>
    <n v="-77.766233"/>
    <n v="-8.2165479999999995"/>
    <n v="11"/>
    <x v="2"/>
  </r>
  <r>
    <n v="28"/>
    <x v="0"/>
    <x v="22"/>
    <x v="27"/>
    <x v="10"/>
    <x v="22"/>
    <x v="26"/>
    <x v="0"/>
    <n v="-78.320964000000004"/>
    <n v="-7.0307110000000002"/>
    <n v="25"/>
    <x v="2"/>
  </r>
  <r>
    <n v="29"/>
    <x v="0"/>
    <x v="24"/>
    <x v="28"/>
    <x v="6"/>
    <x v="23"/>
    <x v="8"/>
    <x v="17"/>
    <n v="-76.645263999999997"/>
    <n v="-10.593425"/>
    <m/>
    <x v="0"/>
  </r>
  <r>
    <n v="30"/>
    <x v="0"/>
    <x v="25"/>
    <x v="29"/>
    <x v="11"/>
    <x v="12"/>
    <x v="27"/>
    <x v="3"/>
    <n v="-70.487643000000006"/>
    <n v="-13.797475"/>
    <m/>
    <x v="0"/>
  </r>
  <r>
    <n v="31"/>
    <x v="0"/>
    <x v="26"/>
    <x v="30"/>
    <x v="12"/>
    <x v="24"/>
    <x v="28"/>
    <x v="1"/>
    <n v="-74.837185000000005"/>
    <n v="-15.359912"/>
    <n v="29"/>
    <x v="2"/>
  </r>
  <r>
    <n v="32"/>
    <x v="0"/>
    <x v="11"/>
    <x v="31"/>
    <x v="15"/>
    <x v="25"/>
    <x v="29"/>
    <x v="18"/>
    <n v="-75.031137000000001"/>
    <n v="-12.751601000000001"/>
    <m/>
    <x v="0"/>
  </r>
  <r>
    <n v="33"/>
    <x v="0"/>
    <x v="27"/>
    <x v="32"/>
    <x v="7"/>
    <x v="17"/>
    <x v="20"/>
    <x v="0"/>
    <n v="-71.293571999999998"/>
    <n v="-14.977722"/>
    <n v="17"/>
    <x v="2"/>
  </r>
  <r>
    <n v="34"/>
    <x v="0"/>
    <x v="28"/>
    <x v="33"/>
    <x v="14"/>
    <x v="19"/>
    <x v="30"/>
    <x v="4"/>
    <n v="-70.622110000000006"/>
    <n v="-17.096755999999999"/>
    <n v="30"/>
    <x v="2"/>
  </r>
  <r>
    <n v="35"/>
    <x v="0"/>
    <x v="29"/>
    <x v="34"/>
    <x v="16"/>
    <x v="26"/>
    <x v="31"/>
    <x v="4"/>
    <n v="-79.350887"/>
    <n v="-4.881691"/>
    <m/>
    <x v="0"/>
  </r>
  <r>
    <n v="36"/>
    <x v="0"/>
    <x v="30"/>
    <x v="35"/>
    <x v="14"/>
    <x v="27"/>
    <x v="32"/>
    <x v="15"/>
    <n v="-70.548269000000005"/>
    <n v="-16.211713"/>
    <n v="10"/>
    <x v="3"/>
  </r>
  <r>
    <n v="37"/>
    <x v="0"/>
    <x v="31"/>
    <x v="36"/>
    <x v="3"/>
    <x v="28"/>
    <x v="33"/>
    <x v="19"/>
    <n v="-77.777687"/>
    <n v="-9.4044830000000008"/>
    <n v="3.5"/>
    <x v="3"/>
  </r>
  <r>
    <n v="38"/>
    <x v="0"/>
    <x v="11"/>
    <x v="37"/>
    <x v="5"/>
    <x v="29"/>
    <x v="34"/>
    <x v="6"/>
    <n v="-75.973984999999999"/>
    <n v="-10.855857"/>
    <n v="15"/>
    <x v="3"/>
  </r>
  <r>
    <n v="39"/>
    <x v="0"/>
    <x v="22"/>
    <x v="38"/>
    <x v="12"/>
    <x v="30"/>
    <x v="35"/>
    <x v="0"/>
    <n v="-71.770694000000006"/>
    <n v="-17.014408"/>
    <n v="20"/>
    <x v="2"/>
  </r>
  <r>
    <n v="40"/>
    <x v="0"/>
    <x v="32"/>
    <x v="39"/>
    <x v="2"/>
    <x v="6"/>
    <x v="36"/>
    <x v="4"/>
    <n v="-72.873011000000005"/>
    <n v="-14.495576"/>
    <n v="18"/>
    <x v="2"/>
  </r>
  <r>
    <n v="41"/>
    <x v="0"/>
    <x v="12"/>
    <x v="40"/>
    <x v="10"/>
    <x v="22"/>
    <x v="37"/>
    <x v="9"/>
    <n v="-78.520454000000001"/>
    <n v="-6.9861760000000004"/>
    <n v="20"/>
    <x v="4"/>
  </r>
  <r>
    <n v="42"/>
    <x v="0"/>
    <x v="33"/>
    <x v="41"/>
    <x v="12"/>
    <x v="31"/>
    <x v="38"/>
    <x v="18"/>
    <n v="-72.255324999999999"/>
    <n v="-16.044281000000002"/>
    <n v="19"/>
    <x v="2"/>
  </r>
  <r>
    <n v="43"/>
    <x v="0"/>
    <x v="23"/>
    <x v="42"/>
    <x v="11"/>
    <x v="12"/>
    <x v="13"/>
    <x v="20"/>
    <n v="-70.665937999999997"/>
    <n v="-13.9757"/>
    <m/>
    <x v="0"/>
  </r>
  <r>
    <n v="44"/>
    <x v="1"/>
    <x v="34"/>
    <x v="43"/>
    <x v="5"/>
    <x v="5"/>
    <x v="7"/>
    <x v="21"/>
    <n v="-76.408659597699994"/>
    <n v="-11.354425839099999"/>
    <m/>
    <x v="0"/>
  </r>
  <r>
    <n v="45"/>
    <x v="1"/>
    <x v="35"/>
    <x v="44"/>
    <x v="12"/>
    <x v="24"/>
    <x v="39"/>
    <x v="0"/>
    <n v="-74.498639556399993"/>
    <n v="-15.2792524592"/>
    <m/>
    <x v="0"/>
  </r>
  <r>
    <n v="46"/>
    <x v="1"/>
    <x v="36"/>
    <x v="45"/>
    <x v="15"/>
    <x v="32"/>
    <x v="40"/>
    <x v="0"/>
    <n v="-74.759915358599997"/>
    <n v="-13.333235327600001"/>
    <m/>
    <x v="0"/>
  </r>
  <r>
    <n v="47"/>
    <x v="1"/>
    <x v="37"/>
    <x v="46"/>
    <x v="12"/>
    <x v="33"/>
    <x v="41"/>
    <x v="21"/>
    <n v="-72.325963215599998"/>
    <n v="-14.979778337100001"/>
    <m/>
    <x v="0"/>
  </r>
  <r>
    <n v="48"/>
    <x v="1"/>
    <x v="38"/>
    <x v="47"/>
    <x v="3"/>
    <x v="3"/>
    <x v="42"/>
    <x v="22"/>
    <n v="-77.029421875200001"/>
    <n v="-9.9418521492600007"/>
    <m/>
    <x v="0"/>
  </r>
  <r>
    <n v="49"/>
    <x v="1"/>
    <x v="39"/>
    <x v="48"/>
    <x v="9"/>
    <x v="10"/>
    <x v="43"/>
    <x v="22"/>
    <n v="-77.969106092700002"/>
    <n v="-5.7065853212300004"/>
    <m/>
    <x v="0"/>
  </r>
  <r>
    <n v="50"/>
    <x v="1"/>
    <x v="40"/>
    <x v="49"/>
    <x v="5"/>
    <x v="5"/>
    <x v="44"/>
    <x v="22"/>
    <n v="-76.306164975499996"/>
    <n v="-11.1753121973"/>
    <m/>
    <x v="0"/>
  </r>
  <r>
    <n v="51"/>
    <x v="1"/>
    <x v="41"/>
    <x v="50"/>
    <x v="12"/>
    <x v="34"/>
    <x v="45"/>
    <x v="21"/>
    <n v="-71.851765554799996"/>
    <n v="-15.175185687999999"/>
    <m/>
    <x v="0"/>
  </r>
  <r>
    <n v="52"/>
    <x v="1"/>
    <x v="12"/>
    <x v="51"/>
    <x v="10"/>
    <x v="22"/>
    <x v="46"/>
    <x v="3"/>
    <n v="-78.6037866275"/>
    <n v="-7.0241065561099996"/>
    <m/>
    <x v="0"/>
  </r>
  <r>
    <n v="53"/>
    <x v="1"/>
    <x v="42"/>
    <x v="52"/>
    <x v="12"/>
    <x v="24"/>
    <x v="47"/>
    <x v="0"/>
    <n v="-74.296450315499996"/>
    <n v="-15.683133379499999"/>
    <m/>
    <x v="0"/>
  </r>
  <r>
    <n v="54"/>
    <x v="1"/>
    <x v="43"/>
    <x v="53"/>
    <x v="11"/>
    <x v="35"/>
    <x v="48"/>
    <x v="3"/>
    <n v="-69.419051412900004"/>
    <n v="-14.587218869399999"/>
    <m/>
    <x v="0"/>
  </r>
  <r>
    <n v="55"/>
    <x v="1"/>
    <x v="37"/>
    <x v="54"/>
    <x v="13"/>
    <x v="36"/>
    <x v="49"/>
    <x v="3"/>
    <n v="-73.246111479099994"/>
    <n v="-14.7630226975"/>
    <m/>
    <x v="0"/>
  </r>
  <r>
    <n v="56"/>
    <x v="1"/>
    <x v="12"/>
    <x v="55"/>
    <x v="10"/>
    <x v="22"/>
    <x v="46"/>
    <x v="3"/>
    <n v="-78.492729592700002"/>
    <n v="-6.9540723594999996"/>
    <m/>
    <x v="0"/>
  </r>
  <r>
    <n v="57"/>
    <x v="1"/>
    <x v="44"/>
    <x v="56"/>
    <x v="3"/>
    <x v="37"/>
    <x v="50"/>
    <x v="3"/>
    <n v="-77.870304368999996"/>
    <n v="-10.0631090494"/>
    <m/>
    <x v="0"/>
  </r>
  <r>
    <n v="58"/>
    <x v="1"/>
    <x v="37"/>
    <x v="57"/>
    <x v="17"/>
    <x v="38"/>
    <x v="51"/>
    <x v="0"/>
    <n v="-71.052968147599998"/>
    <n v="-17.792143062000001"/>
    <m/>
    <x v="0"/>
  </r>
  <r>
    <n v="59"/>
    <x v="1"/>
    <x v="37"/>
    <x v="58"/>
    <x v="7"/>
    <x v="39"/>
    <x v="52"/>
    <x v="3"/>
    <n v="-72.391382465000007"/>
    <n v="-14.7492791312"/>
    <m/>
    <x v="0"/>
  </r>
  <r>
    <n v="60"/>
    <x v="1"/>
    <x v="45"/>
    <x v="59"/>
    <x v="17"/>
    <x v="40"/>
    <x v="53"/>
    <x v="21"/>
    <n v="-70.345993192199998"/>
    <n v="-17.5668676626"/>
    <m/>
    <x v="0"/>
  </r>
  <r>
    <n v="61"/>
    <x v="1"/>
    <x v="46"/>
    <x v="60"/>
    <x v="15"/>
    <x v="41"/>
    <x v="54"/>
    <x v="21"/>
    <n v="-75.359535448100004"/>
    <n v="-13.023969620400001"/>
    <m/>
    <x v="0"/>
  </r>
  <r>
    <n v="62"/>
    <x v="1"/>
    <x v="38"/>
    <x v="61"/>
    <x v="1"/>
    <x v="42"/>
    <x v="55"/>
    <x v="22"/>
    <n v="-75.786317582600006"/>
    <n v="-13.5248622309"/>
    <m/>
    <x v="0"/>
  </r>
  <r>
    <n v="63"/>
    <x v="1"/>
    <x v="47"/>
    <x v="62"/>
    <x v="6"/>
    <x v="43"/>
    <x v="56"/>
    <x v="22"/>
    <n v="-76.224842782899998"/>
    <n v="-10.630478764799999"/>
    <m/>
    <x v="0"/>
  </r>
  <r>
    <n v="64"/>
    <x v="1"/>
    <x v="36"/>
    <x v="63"/>
    <x v="4"/>
    <x v="44"/>
    <x v="57"/>
    <x v="0"/>
    <n v="-78.613840169599996"/>
    <n v="-7.8544753457300001"/>
    <m/>
    <x v="0"/>
  </r>
  <r>
    <n v="65"/>
    <x v="1"/>
    <x v="48"/>
    <x v="64"/>
    <x v="11"/>
    <x v="12"/>
    <x v="58"/>
    <x v="3"/>
    <n v="-70.360904658300001"/>
    <n v="-13.4800275599"/>
    <m/>
    <x v="0"/>
  </r>
  <r>
    <n v="66"/>
    <x v="1"/>
    <x v="37"/>
    <x v="65"/>
    <x v="2"/>
    <x v="6"/>
    <x v="59"/>
    <x v="3"/>
    <n v="-72.529730145200006"/>
    <n v="-14.6631416019"/>
    <m/>
    <x v="0"/>
  </r>
  <r>
    <n v="67"/>
    <x v="1"/>
    <x v="49"/>
    <x v="66"/>
    <x v="18"/>
    <x v="45"/>
    <x v="60"/>
    <x v="0"/>
    <n v="-76.523496790300001"/>
    <n v="-9.8054102029799992"/>
    <m/>
    <x v="0"/>
  </r>
  <r>
    <n v="68"/>
    <x v="1"/>
    <x v="50"/>
    <x v="67"/>
    <x v="0"/>
    <x v="46"/>
    <x v="61"/>
    <x v="3"/>
    <n v="-77.183891389899998"/>
    <n v="-10.9172534272"/>
    <m/>
    <x v="0"/>
  </r>
  <r>
    <n v="69"/>
    <x v="1"/>
    <x v="50"/>
    <x v="68"/>
    <x v="12"/>
    <x v="47"/>
    <x v="62"/>
    <x v="3"/>
    <n v="-72.393204087300006"/>
    <n v="-15.673085971300001"/>
    <m/>
    <x v="0"/>
  </r>
  <r>
    <n v="70"/>
    <x v="1"/>
    <x v="51"/>
    <x v="69"/>
    <x v="10"/>
    <x v="48"/>
    <x v="63"/>
    <x v="3"/>
    <n v="-78.893432348900006"/>
    <n v="-6.8093015040099996"/>
    <m/>
    <x v="0"/>
  </r>
  <r>
    <n v="71"/>
    <x v="1"/>
    <x v="52"/>
    <x v="70"/>
    <x v="4"/>
    <x v="4"/>
    <x v="4"/>
    <x v="3"/>
    <n v="-77.650881201800004"/>
    <n v="-7.6632175066399997"/>
    <m/>
    <x v="0"/>
  </r>
  <r>
    <n v="72"/>
    <x v="1"/>
    <x v="53"/>
    <x v="71"/>
    <x v="0"/>
    <x v="0"/>
    <x v="64"/>
    <x v="22"/>
    <n v="-76.924222807899994"/>
    <n v="-11.483807475300001"/>
    <m/>
    <x v="0"/>
  </r>
  <r>
    <n v="73"/>
    <x v="1"/>
    <x v="54"/>
    <x v="72"/>
    <x v="4"/>
    <x v="44"/>
    <x v="65"/>
    <x v="0"/>
    <n v="-78.743251801400007"/>
    <n v="-7.7200234507500003"/>
    <m/>
    <x v="0"/>
  </r>
  <r>
    <n v="74"/>
    <x v="1"/>
    <x v="55"/>
    <x v="73"/>
    <x v="6"/>
    <x v="49"/>
    <x v="66"/>
    <x v="3"/>
    <n v="-75.882218730100007"/>
    <n v="-10.397434795500001"/>
    <m/>
    <x v="0"/>
  </r>
  <r>
    <n v="75"/>
    <x v="1"/>
    <x v="38"/>
    <x v="74"/>
    <x v="3"/>
    <x v="50"/>
    <x v="67"/>
    <x v="22"/>
    <n v="-77.874508753499995"/>
    <n v="-9.7676748934499997"/>
    <m/>
    <x v="0"/>
  </r>
  <r>
    <n v="76"/>
    <x v="1"/>
    <x v="42"/>
    <x v="75"/>
    <x v="12"/>
    <x v="24"/>
    <x v="47"/>
    <x v="0"/>
    <n v="-74.326141912699995"/>
    <n v="-15.666984962200001"/>
    <m/>
    <x v="0"/>
  </r>
  <r>
    <n v="77"/>
    <x v="1"/>
    <x v="56"/>
    <x v="75"/>
    <x v="13"/>
    <x v="51"/>
    <x v="68"/>
    <x v="3"/>
    <n v="-73.9025752238"/>
    <n v="-14.795613532500001"/>
    <m/>
    <x v="0"/>
  </r>
  <r>
    <n v="78"/>
    <x v="1"/>
    <x v="57"/>
    <x v="76"/>
    <x v="18"/>
    <x v="52"/>
    <x v="69"/>
    <x v="21"/>
    <n v="-76.281314233499998"/>
    <n v="-10.373419546899999"/>
    <m/>
    <x v="0"/>
  </r>
  <r>
    <n v="79"/>
    <x v="1"/>
    <x v="58"/>
    <x v="77"/>
    <x v="3"/>
    <x v="53"/>
    <x v="70"/>
    <x v="0"/>
    <n v="-77.915059004100002"/>
    <n v="-9.1954330467999998"/>
    <m/>
    <x v="0"/>
  </r>
  <r>
    <n v="80"/>
    <x v="1"/>
    <x v="59"/>
    <x v="78"/>
    <x v="15"/>
    <x v="25"/>
    <x v="71"/>
    <x v="21"/>
    <n v="-75.060332274000004"/>
    <n v="-12.67201223"/>
    <m/>
    <x v="0"/>
  </r>
  <r>
    <n v="81"/>
    <x v="1"/>
    <x v="60"/>
    <x v="79"/>
    <x v="13"/>
    <x v="51"/>
    <x v="72"/>
    <x v="3"/>
    <n v="-74.470964011800007"/>
    <n v="-14.523589838099999"/>
    <m/>
    <x v="0"/>
  </r>
  <r>
    <n v="82"/>
    <x v="1"/>
    <x v="37"/>
    <x v="80"/>
    <x v="13"/>
    <x v="36"/>
    <x v="49"/>
    <x v="3"/>
    <n v="-73.205557608099994"/>
    <n v="-14.731793788199999"/>
    <m/>
    <x v="0"/>
  </r>
  <r>
    <n v="83"/>
    <x v="1"/>
    <x v="37"/>
    <x v="81"/>
    <x v="13"/>
    <x v="36"/>
    <x v="49"/>
    <x v="3"/>
    <n v="-73.213093635500002"/>
    <n v="-14.811861592"/>
    <m/>
    <x v="0"/>
  </r>
  <r>
    <n v="84"/>
    <x v="1"/>
    <x v="61"/>
    <x v="82"/>
    <x v="14"/>
    <x v="54"/>
    <x v="73"/>
    <x v="0"/>
    <n v="-71.372097424100005"/>
    <n v="-16.741486905999999"/>
    <m/>
    <x v="0"/>
  </r>
  <r>
    <n v="85"/>
    <x v="1"/>
    <x v="62"/>
    <x v="83"/>
    <x v="12"/>
    <x v="24"/>
    <x v="74"/>
    <x v="0"/>
    <n v="-73.969081833999994"/>
    <n v="-15.944572382900001"/>
    <m/>
    <x v="0"/>
  </r>
  <r>
    <n v="86"/>
    <x v="1"/>
    <x v="63"/>
    <x v="84"/>
    <x v="3"/>
    <x v="55"/>
    <x v="75"/>
    <x v="0"/>
    <n v="-77.710559564199997"/>
    <n v="-8.5763749575499997"/>
    <m/>
    <x v="0"/>
  </r>
  <r>
    <n v="87"/>
    <x v="1"/>
    <x v="38"/>
    <x v="85"/>
    <x v="0"/>
    <x v="56"/>
    <x v="76"/>
    <x v="23"/>
    <n v="-75.994240000000005"/>
    <n v="-13.060059000000001"/>
    <m/>
    <x v="0"/>
  </r>
  <r>
    <n v="88"/>
    <x v="1"/>
    <x v="54"/>
    <x v="86"/>
    <x v="7"/>
    <x v="39"/>
    <x v="77"/>
    <x v="0"/>
    <n v="-71.7658764631"/>
    <n v="-14.3750620851"/>
    <m/>
    <x v="0"/>
  </r>
  <r>
    <n v="89"/>
    <x v="1"/>
    <x v="64"/>
    <x v="87"/>
    <x v="11"/>
    <x v="12"/>
    <x v="78"/>
    <x v="24"/>
    <n v="-70.296515637599995"/>
    <n v="-14.2054886597"/>
    <m/>
    <x v="0"/>
  </r>
  <r>
    <n v="90"/>
    <x v="1"/>
    <x v="64"/>
    <x v="88"/>
    <x v="12"/>
    <x v="34"/>
    <x v="79"/>
    <x v="25"/>
    <n v="-71.269219490400005"/>
    <n v="-15.593443844299999"/>
    <m/>
    <x v="0"/>
  </r>
  <r>
    <n v="91"/>
    <x v="1"/>
    <x v="65"/>
    <x v="89"/>
    <x v="15"/>
    <x v="25"/>
    <x v="80"/>
    <x v="0"/>
    <n v="-75.408401487899994"/>
    <n v="-12.7319661912"/>
    <m/>
    <x v="0"/>
  </r>
  <r>
    <n v="92"/>
    <x v="1"/>
    <x v="40"/>
    <x v="90"/>
    <x v="0"/>
    <x v="57"/>
    <x v="81"/>
    <x v="22"/>
    <n v="-76.517232662500007"/>
    <n v="-11.155285612"/>
    <m/>
    <x v="0"/>
  </r>
  <r>
    <n v="93"/>
    <x v="1"/>
    <x v="60"/>
    <x v="91"/>
    <x v="2"/>
    <x v="58"/>
    <x v="82"/>
    <x v="0"/>
    <n v="-72.602599041700003"/>
    <n v="-14.159117782199999"/>
    <m/>
    <x v="0"/>
  </r>
  <r>
    <n v="94"/>
    <x v="1"/>
    <x v="12"/>
    <x v="92"/>
    <x v="10"/>
    <x v="22"/>
    <x v="83"/>
    <x v="3"/>
    <n v="-78.511589777699996"/>
    <n v="-7.0219903157300001"/>
    <m/>
    <x v="0"/>
  </r>
  <r>
    <n v="95"/>
    <x v="1"/>
    <x v="66"/>
    <x v="93"/>
    <x v="7"/>
    <x v="17"/>
    <x v="84"/>
    <x v="21"/>
    <n v="-71.817605228399998"/>
    <n v="-15.058809656599999"/>
    <m/>
    <x v="0"/>
  </r>
  <r>
    <n v="96"/>
    <x v="1"/>
    <x v="67"/>
    <x v="94"/>
    <x v="0"/>
    <x v="0"/>
    <x v="85"/>
    <x v="22"/>
    <n v="-76.527882664200007"/>
    <n v="-11.1788189097"/>
    <m/>
    <x v="0"/>
  </r>
  <r>
    <n v="97"/>
    <x v="1"/>
    <x v="68"/>
    <x v="95"/>
    <x v="2"/>
    <x v="6"/>
    <x v="86"/>
    <x v="3"/>
    <n v="-72.678611832599998"/>
    <n v="-14.510051280800001"/>
    <m/>
    <x v="0"/>
  </r>
  <r>
    <n v="98"/>
    <x v="1"/>
    <x v="69"/>
    <x v="96"/>
    <x v="13"/>
    <x v="59"/>
    <x v="87"/>
    <x v="3"/>
    <n v="-74.665135872899995"/>
    <n v="-13.854288818700001"/>
    <m/>
    <x v="0"/>
  </r>
  <r>
    <n v="99"/>
    <x v="1"/>
    <x v="70"/>
    <x v="97"/>
    <x v="3"/>
    <x v="60"/>
    <x v="88"/>
    <x v="0"/>
    <n v="-77.575493047600006"/>
    <n v="-9.7759075714199994"/>
    <m/>
    <x v="0"/>
  </r>
  <r>
    <n v="100"/>
    <x v="1"/>
    <x v="71"/>
    <x v="98"/>
    <x v="13"/>
    <x v="59"/>
    <x v="89"/>
    <x v="0"/>
    <n v="-74.401208722800007"/>
    <n v="-13.9030555345"/>
    <m/>
    <x v="0"/>
  </r>
  <r>
    <n v="101"/>
    <x v="1"/>
    <x v="72"/>
    <x v="99"/>
    <x v="17"/>
    <x v="61"/>
    <x v="90"/>
    <x v="0"/>
    <n v="-70.422119078500003"/>
    <n v="-17.164734554700001"/>
    <m/>
    <x v="0"/>
  </r>
  <r>
    <n v="102"/>
    <x v="1"/>
    <x v="73"/>
    <x v="100"/>
    <x v="2"/>
    <x v="62"/>
    <x v="91"/>
    <x v="3"/>
    <n v="-72.974705744800005"/>
    <n v="-14.122640953099999"/>
    <m/>
    <x v="0"/>
  </r>
  <r>
    <n v="103"/>
    <x v="1"/>
    <x v="74"/>
    <x v="101"/>
    <x v="11"/>
    <x v="12"/>
    <x v="92"/>
    <x v="3"/>
    <n v="-69.9521767289"/>
    <n v="-14.0885729795"/>
    <m/>
    <x v="0"/>
  </r>
  <r>
    <n v="104"/>
    <x v="1"/>
    <x v="37"/>
    <x v="102"/>
    <x v="13"/>
    <x v="36"/>
    <x v="49"/>
    <x v="3"/>
    <n v="-73.201522545399996"/>
    <n v="-14.713597007600001"/>
    <m/>
    <x v="0"/>
  </r>
  <r>
    <n v="105"/>
    <x v="1"/>
    <x v="75"/>
    <x v="103"/>
    <x v="0"/>
    <x v="63"/>
    <x v="93"/>
    <x v="0"/>
    <n v="-75.707368246599998"/>
    <n v="-12.341364587299999"/>
    <m/>
    <x v="0"/>
  </r>
  <r>
    <n v="106"/>
    <x v="1"/>
    <x v="76"/>
    <x v="104"/>
    <x v="5"/>
    <x v="5"/>
    <x v="94"/>
    <x v="21"/>
    <n v="-75.963163817199998"/>
    <n v="-11.7772444542"/>
    <m/>
    <x v="0"/>
  </r>
  <r>
    <m/>
    <x v="2"/>
    <x v="77"/>
    <x v="105"/>
    <x v="19"/>
    <x v="64"/>
    <x v="95"/>
    <x v="26"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E8081-F6B6-4342-94CC-6712352194F9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A6:B142" firstHeaderRow="1" firstDataRow="1" firstDataCol="1" rowPageCount="2" colPageCount="1"/>
  <pivotFields count="12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79">
        <item x="69"/>
        <item x="66"/>
        <item x="28"/>
        <item x="17"/>
        <item x="7"/>
        <item x="13"/>
        <item x="53"/>
        <item x="65"/>
        <item x="42"/>
        <item x="10"/>
        <item x="70"/>
        <item x="30"/>
        <item x="19"/>
        <item x="18"/>
        <item x="4"/>
        <item x="27"/>
        <item x="33"/>
        <item x="24"/>
        <item x="37"/>
        <item x="59"/>
        <item x="40"/>
        <item x="35"/>
        <item x="52"/>
        <item x="73"/>
        <item x="49"/>
        <item x="55"/>
        <item x="43"/>
        <item x="32"/>
        <item x="9"/>
        <item x="68"/>
        <item x="44"/>
        <item x="54"/>
        <item x="3"/>
        <item x="26"/>
        <item x="14"/>
        <item x="15"/>
        <item x="23"/>
        <item x="45"/>
        <item x="16"/>
        <item x="41"/>
        <item x="34"/>
        <item x="5"/>
        <item x="39"/>
        <item x="21"/>
        <item x="25"/>
        <item x="51"/>
        <item x="2"/>
        <item x="58"/>
        <item x="61"/>
        <item x="63"/>
        <item x="1"/>
        <item x="12"/>
        <item x="64"/>
        <item x="50"/>
        <item x="47"/>
        <item x="38"/>
        <item x="11"/>
        <item x="62"/>
        <item x="74"/>
        <item x="57"/>
        <item x="6"/>
        <item x="0"/>
        <item x="56"/>
        <item x="31"/>
        <item x="29"/>
        <item x="20"/>
        <item x="72"/>
        <item x="75"/>
        <item x="46"/>
        <item x="71"/>
        <item x="22"/>
        <item x="60"/>
        <item x="8"/>
        <item x="67"/>
        <item x="36"/>
        <item x="76"/>
        <item x="48"/>
        <item x="77"/>
        <item t="default"/>
      </items>
    </pivotField>
    <pivotField axis="axisRow" showAll="0">
      <items count="107">
        <item x="43"/>
        <item x="44"/>
        <item x="3"/>
        <item x="4"/>
        <item x="1"/>
        <item x="5"/>
        <item x="6"/>
        <item x="45"/>
        <item x="46"/>
        <item x="7"/>
        <item x="8"/>
        <item x="9"/>
        <item x="47"/>
        <item x="48"/>
        <item x="10"/>
        <item x="11"/>
        <item x="49"/>
        <item x="50"/>
        <item x="51"/>
        <item x="2"/>
        <item x="52"/>
        <item x="53"/>
        <item x="54"/>
        <item x="55"/>
        <item x="56"/>
        <item x="12"/>
        <item x="13"/>
        <item x="57"/>
        <item x="14"/>
        <item x="58"/>
        <item x="59"/>
        <item x="15"/>
        <item x="60"/>
        <item x="61"/>
        <item x="16"/>
        <item x="62"/>
        <item x="63"/>
        <item x="42"/>
        <item x="64"/>
        <item x="18"/>
        <item x="19"/>
        <item x="17"/>
        <item x="65"/>
        <item x="66"/>
        <item x="67"/>
        <item x="68"/>
        <item x="21"/>
        <item x="22"/>
        <item x="69"/>
        <item x="70"/>
        <item x="71"/>
        <item x="72"/>
        <item x="73"/>
        <item x="23"/>
        <item x="24"/>
        <item x="74"/>
        <item x="75"/>
        <item x="25"/>
        <item x="26"/>
        <item x="76"/>
        <item x="77"/>
        <item x="27"/>
        <item x="78"/>
        <item x="79"/>
        <item x="29"/>
        <item x="20"/>
        <item x="80"/>
        <item x="81"/>
        <item x="30"/>
        <item x="82"/>
        <item x="83"/>
        <item x="0"/>
        <item x="84"/>
        <item x="85"/>
        <item x="31"/>
        <item x="32"/>
        <item x="86"/>
        <item x="33"/>
        <item x="87"/>
        <item x="88"/>
        <item x="34"/>
        <item x="89"/>
        <item x="90"/>
        <item x="91"/>
        <item x="35"/>
        <item x="92"/>
        <item x="36"/>
        <item x="93"/>
        <item x="94"/>
        <item x="95"/>
        <item x="96"/>
        <item x="37"/>
        <item x="97"/>
        <item x="98"/>
        <item x="99"/>
        <item x="38"/>
        <item x="39"/>
        <item x="100"/>
        <item x="101"/>
        <item x="40"/>
        <item x="102"/>
        <item x="103"/>
        <item x="28"/>
        <item x="41"/>
        <item x="104"/>
        <item x="105"/>
        <item t="default"/>
      </items>
    </pivotField>
    <pivotField axis="axisRow" multipleItemSelectionAllowed="1" showAll="0">
      <items count="23">
        <item h="1" x="9"/>
        <item x="3"/>
        <item x="2"/>
        <item m="1" x="21"/>
        <item x="12"/>
        <item x="13"/>
        <item x="10"/>
        <item x="7"/>
        <item h="1" x="15"/>
        <item h="1" x="18"/>
        <item x="1"/>
        <item m="1" x="20"/>
        <item x="5"/>
        <item x="4"/>
        <item h="1" x="8"/>
        <item h="1" x="0"/>
        <item x="14"/>
        <item h="1" x="6"/>
        <item h="1" x="16"/>
        <item h="1" x="11"/>
        <item x="17"/>
        <item h="1" x="19"/>
        <item t="default"/>
      </items>
    </pivotField>
    <pivotField axis="axisRow" showAll="0">
      <items count="66">
        <item x="62"/>
        <item x="60"/>
        <item x="52"/>
        <item x="50"/>
        <item x="15"/>
        <item x="6"/>
        <item x="13"/>
        <item x="20"/>
        <item x="3"/>
        <item x="10"/>
        <item x="22"/>
        <item x="61"/>
        <item x="12"/>
        <item x="24"/>
        <item x="47"/>
        <item x="31"/>
        <item x="41"/>
        <item x="34"/>
        <item x="11"/>
        <item x="42"/>
        <item x="56"/>
        <item x="18"/>
        <item x="39"/>
        <item x="33"/>
        <item x="55"/>
        <item x="2"/>
        <item x="14"/>
        <item x="7"/>
        <item x="23"/>
        <item x="17"/>
        <item x="9"/>
        <item x="54"/>
        <item x="58"/>
        <item x="59"/>
        <item x="26"/>
        <item x="25"/>
        <item x="0"/>
        <item x="37"/>
        <item x="46"/>
        <item x="53"/>
        <item x="32"/>
        <item x="30"/>
        <item x="38"/>
        <item x="29"/>
        <item x="51"/>
        <item x="19"/>
        <item x="1"/>
        <item x="44"/>
        <item x="49"/>
        <item x="21"/>
        <item x="36"/>
        <item x="8"/>
        <item x="43"/>
        <item x="4"/>
        <item x="16"/>
        <item x="27"/>
        <item x="35"/>
        <item x="48"/>
        <item x="40"/>
        <item x="45"/>
        <item x="5"/>
        <item x="57"/>
        <item x="63"/>
        <item x="28"/>
        <item x="64"/>
        <item t="default"/>
      </items>
    </pivotField>
    <pivotField showAll="0">
      <items count="97">
        <item x="39"/>
        <item x="9"/>
        <item x="80"/>
        <item x="88"/>
        <item x="78"/>
        <item x="93"/>
        <item x="61"/>
        <item x="18"/>
        <item x="86"/>
        <item x="3"/>
        <item x="47"/>
        <item x="64"/>
        <item x="28"/>
        <item x="46"/>
        <item x="37"/>
        <item x="79"/>
        <item x="90"/>
        <item x="10"/>
        <item x="34"/>
        <item x="54"/>
        <item x="63"/>
        <item x="41"/>
        <item x="45"/>
        <item x="17"/>
        <item x="2"/>
        <item x="74"/>
        <item x="76"/>
        <item x="60"/>
        <item x="68"/>
        <item x="91"/>
        <item x="35"/>
        <item x="25"/>
        <item x="13"/>
        <item x="24"/>
        <item x="49"/>
        <item x="14"/>
        <item x="75"/>
        <item x="55"/>
        <item x="31"/>
        <item x="20"/>
        <item x="11"/>
        <item x="42"/>
        <item x="38"/>
        <item x="67"/>
        <item x="71"/>
        <item x="29"/>
        <item x="0"/>
        <item x="50"/>
        <item x="32"/>
        <item x="53"/>
        <item x="51"/>
        <item x="36"/>
        <item x="73"/>
        <item x="26"/>
        <item x="77"/>
        <item x="83"/>
        <item x="7"/>
        <item x="1"/>
        <item x="82"/>
        <item x="22"/>
        <item x="5"/>
        <item x="27"/>
        <item x="59"/>
        <item x="72"/>
        <item x="57"/>
        <item x="19"/>
        <item x="70"/>
        <item x="66"/>
        <item x="4"/>
        <item x="40"/>
        <item x="21"/>
        <item x="48"/>
        <item x="6"/>
        <item x="69"/>
        <item x="56"/>
        <item x="58"/>
        <item x="87"/>
        <item x="89"/>
        <item x="44"/>
        <item x="81"/>
        <item x="85"/>
        <item x="52"/>
        <item x="33"/>
        <item x="65"/>
        <item x="16"/>
        <item x="12"/>
        <item x="94"/>
        <item x="84"/>
        <item x="23"/>
        <item x="30"/>
        <item x="62"/>
        <item x="92"/>
        <item x="43"/>
        <item x="8"/>
        <item x="15"/>
        <item x="95"/>
        <item t="default"/>
      </items>
    </pivotField>
    <pivotField axis="axisRow" showAll="0">
      <items count="28">
        <item x="21"/>
        <item x="23"/>
        <item x="17"/>
        <item x="10"/>
        <item x="3"/>
        <item x="19"/>
        <item x="15"/>
        <item x="9"/>
        <item x="0"/>
        <item x="25"/>
        <item x="5"/>
        <item x="18"/>
        <item x="11"/>
        <item x="12"/>
        <item x="4"/>
        <item x="14"/>
        <item x="1"/>
        <item x="20"/>
        <item x="24"/>
        <item x="16"/>
        <item x="22"/>
        <item x="13"/>
        <item x="7"/>
        <item x="8"/>
        <item x="2"/>
        <item x="6"/>
        <item x="26"/>
        <item t="default"/>
      </items>
    </pivotField>
    <pivotField showAll="0"/>
    <pivotField showAll="0"/>
    <pivotField dataField="1" showAll="0"/>
    <pivotField axis="axisPage" multipleItemSelectionAllowed="1" showAll="0">
      <items count="6">
        <item x="1"/>
        <item x="3"/>
        <item x="2"/>
        <item x="4"/>
        <item x="0"/>
        <item t="default"/>
      </items>
    </pivotField>
  </pivotFields>
  <rowFields count="5">
    <field x="4"/>
    <field x="2"/>
    <field x="3"/>
    <field x="5"/>
    <field x="7"/>
  </rowFields>
  <rowItems count="136">
    <i>
      <x v="1"/>
    </i>
    <i r="1">
      <x v="32"/>
    </i>
    <i r="2">
      <x v="2"/>
    </i>
    <i r="3">
      <x v="8"/>
    </i>
    <i r="4">
      <x v="24"/>
    </i>
    <i r="1">
      <x v="56"/>
    </i>
    <i r="2">
      <x v="41"/>
    </i>
    <i r="3">
      <x v="8"/>
    </i>
    <i r="4">
      <x v="21"/>
    </i>
    <i r="2">
      <x v="58"/>
    </i>
    <i r="3">
      <x v="49"/>
    </i>
    <i r="4">
      <x v="8"/>
    </i>
    <i r="1">
      <x v="63"/>
    </i>
    <i r="2">
      <x v="86"/>
    </i>
    <i r="3">
      <x v="63"/>
    </i>
    <i r="4">
      <x v="5"/>
    </i>
    <i>
      <x v="2"/>
    </i>
    <i r="1">
      <x v="3"/>
    </i>
    <i r="2">
      <x v="40"/>
    </i>
    <i r="3">
      <x v="4"/>
    </i>
    <i r="4">
      <x v="16"/>
    </i>
    <i r="1">
      <x v="27"/>
    </i>
    <i r="2">
      <x v="96"/>
    </i>
    <i r="3">
      <x v="5"/>
    </i>
    <i r="4">
      <x v="14"/>
    </i>
    <i r="1">
      <x v="38"/>
    </i>
    <i r="2">
      <x v="39"/>
    </i>
    <i r="3">
      <x v="26"/>
    </i>
    <i r="4">
      <x v="15"/>
    </i>
    <i r="1">
      <x v="46"/>
    </i>
    <i r="2">
      <x v="19"/>
    </i>
    <i r="3">
      <x v="25"/>
    </i>
    <i r="4">
      <x v="8"/>
    </i>
    <i r="1">
      <x v="60"/>
    </i>
    <i r="2">
      <x v="6"/>
    </i>
    <i r="3">
      <x v="5"/>
    </i>
    <i r="4">
      <x v="14"/>
    </i>
    <i r="2">
      <x v="28"/>
    </i>
    <i r="3">
      <x v="25"/>
    </i>
    <i r="4">
      <x v="12"/>
    </i>
    <i r="1">
      <x v="70"/>
    </i>
    <i r="2">
      <x v="54"/>
    </i>
    <i r="3">
      <x v="7"/>
    </i>
    <i r="4">
      <x v="8"/>
    </i>
    <i>
      <x v="4"/>
    </i>
    <i r="1">
      <x v="16"/>
    </i>
    <i r="2">
      <x v="103"/>
    </i>
    <i r="3">
      <x v="15"/>
    </i>
    <i r="4">
      <x v="11"/>
    </i>
    <i r="1">
      <x v="33"/>
    </i>
    <i r="2">
      <x v="68"/>
    </i>
    <i r="3">
      <x v="13"/>
    </i>
    <i r="4">
      <x v="16"/>
    </i>
    <i r="1">
      <x v="34"/>
    </i>
    <i r="2">
      <x v="31"/>
    </i>
    <i r="3">
      <x v="6"/>
    </i>
    <i r="4">
      <x v="14"/>
    </i>
    <i r="1">
      <x v="70"/>
    </i>
    <i r="2">
      <x v="95"/>
    </i>
    <i r="3">
      <x v="41"/>
    </i>
    <i r="4">
      <x v="8"/>
    </i>
    <i>
      <x v="5"/>
    </i>
    <i r="1">
      <x v="13"/>
    </i>
    <i r="2">
      <x v="65"/>
    </i>
    <i r="3">
      <x v="54"/>
    </i>
    <i r="4">
      <x v="6"/>
    </i>
    <i>
      <x v="6"/>
    </i>
    <i r="1">
      <x v="35"/>
    </i>
    <i r="2">
      <x v="34"/>
    </i>
    <i r="3">
      <x v="18"/>
    </i>
    <i r="4">
      <x v="13"/>
    </i>
    <i r="1">
      <x v="51"/>
    </i>
    <i r="2">
      <x v="25"/>
    </i>
    <i r="3">
      <x v="18"/>
    </i>
    <i r="4">
      <x v="7"/>
    </i>
    <i r="2">
      <x v="99"/>
    </i>
    <i r="3">
      <x v="10"/>
    </i>
    <i r="4">
      <x v="7"/>
    </i>
    <i r="1">
      <x v="65"/>
    </i>
    <i r="2">
      <x v="47"/>
    </i>
    <i r="3">
      <x v="21"/>
    </i>
    <i r="4">
      <x v="8"/>
    </i>
    <i r="1">
      <x v="70"/>
    </i>
    <i r="2">
      <x v="61"/>
    </i>
    <i r="3">
      <x v="10"/>
    </i>
    <i r="4">
      <x v="8"/>
    </i>
    <i>
      <x v="7"/>
    </i>
    <i r="1">
      <x v="12"/>
    </i>
    <i r="2">
      <x v="46"/>
    </i>
    <i r="3">
      <x v="29"/>
    </i>
    <i r="4">
      <x v="8"/>
    </i>
    <i r="1">
      <x v="15"/>
    </i>
    <i r="2">
      <x v="75"/>
    </i>
    <i r="3">
      <x v="29"/>
    </i>
    <i r="4">
      <x v="8"/>
    </i>
    <i r="1">
      <x v="28"/>
    </i>
    <i r="2">
      <x v="11"/>
    </i>
    <i r="3">
      <x v="51"/>
    </i>
    <i r="4">
      <x v="22"/>
    </i>
    <i>
      <x v="10"/>
    </i>
    <i r="1">
      <x v="50"/>
    </i>
    <i r="2">
      <x v="4"/>
    </i>
    <i r="3">
      <x v="46"/>
    </i>
    <i r="4">
      <x v="16"/>
    </i>
    <i>
      <x v="12"/>
    </i>
    <i r="1">
      <x v="4"/>
    </i>
    <i r="2">
      <x v="9"/>
    </i>
    <i r="3">
      <x v="60"/>
    </i>
    <i r="4">
      <x v="10"/>
    </i>
    <i r="1">
      <x v="41"/>
    </i>
    <i r="2">
      <x v="5"/>
    </i>
    <i r="3">
      <x v="60"/>
    </i>
    <i r="4">
      <x v="8"/>
    </i>
    <i r="1">
      <x v="56"/>
    </i>
    <i r="2">
      <x v="91"/>
    </i>
    <i r="3">
      <x v="43"/>
    </i>
    <i r="4">
      <x v="25"/>
    </i>
    <i>
      <x v="13"/>
    </i>
    <i r="1">
      <x v="14"/>
    </i>
    <i r="2">
      <x v="3"/>
    </i>
    <i r="3">
      <x v="53"/>
    </i>
    <i r="4">
      <x v="4"/>
    </i>
    <i>
      <x v="16"/>
    </i>
    <i r="1">
      <x v="2"/>
    </i>
    <i r="2">
      <x v="77"/>
    </i>
    <i r="3">
      <x v="45"/>
    </i>
    <i r="4">
      <x v="14"/>
    </i>
    <i r="1">
      <x v="11"/>
    </i>
    <i r="2">
      <x v="84"/>
    </i>
    <i r="3">
      <x v="55"/>
    </i>
    <i r="4">
      <x v="6"/>
    </i>
    <i r="1">
      <x v="43"/>
    </i>
    <i r="2">
      <x v="53"/>
    </i>
    <i r="3">
      <x v="45"/>
    </i>
    <i r="4">
      <x v="15"/>
    </i>
    <i t="grand">
      <x/>
    </i>
  </rowItems>
  <colItems count="1">
    <i/>
  </colItems>
  <pageFields count="2">
    <pageField fld="1" item="0" hier="-1"/>
    <pageField fld="11" hier="-1"/>
  </pageFields>
  <dataFields count="1">
    <dataField name="Máx. de VIDA UTIL (Años)" fld="10" subtotal="max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770FD-FA3F-4A52-891A-5CA476EF13E0}" name="Proyectos_Mineros" displayName="Proyectos_Mineros" ref="A1:P114" totalsRowShown="0" headerRowDxfId="15">
  <autoFilter ref="A1:P114" xr:uid="{CCD770FD-FA3F-4A52-891A-5CA476EF13E0}"/>
  <tableColumns count="16">
    <tableColumn id="1" xr3:uid="{D88A9028-23CC-4FE7-A507-EC98BCEB95E2}" name="ID" dataDxfId="14"/>
    <tableColumn id="2" xr3:uid="{EE9B89B9-B26B-4770-9F30-EECDA8F6D373}" name="CLASIFICACIÓN" dataDxfId="13"/>
    <tableColumn id="3" xr3:uid="{F78C1337-DB4D-4EA0-A05D-52ED3EA77944}" name="EMPRESA" dataDxfId="12"/>
    <tableColumn id="4" xr3:uid="{230658BF-BE41-4BE6-85A6-19735FA54DDA}" name="PROYECTO" dataDxfId="11"/>
    <tableColumn id="5" xr3:uid="{45B0F060-B2D9-42B7-87C0-831178E834CB}" name="REGIÓN" dataDxfId="10"/>
    <tableColumn id="6" xr3:uid="{C9515119-D573-46F7-A216-A68D07EA7D9E}" name="PROVINCIA" dataDxfId="9"/>
    <tableColumn id="7" xr3:uid="{E4CCA94C-CEF8-4F6C-8BA7-7BEDAC5AA0A7}" name="DISTRITO" dataDxfId="8"/>
    <tableColumn id="8" xr3:uid="{7DBB81AB-688A-4579-968E-BC1C6C410245}" name="PRODUCTO" dataDxfId="7"/>
    <tableColumn id="9" xr3:uid="{FDA6DCA4-11BD-473A-B55C-A7E43E6EA213}" name="LONGITUD" dataDxfId="6"/>
    <tableColumn id="10" xr3:uid="{0DFAA97E-AD40-455F-87DE-14C882724B48}" name="LATITUD" dataDxfId="5"/>
    <tableColumn id="11" xr3:uid="{34EEC517-A443-40B1-910C-BAAB35ED50CA}" name="VIDA UTIL (Años)" dataDxfId="4"/>
    <tableColumn id="12" xr3:uid="{3AACD0FB-528C-4D8C-8F07-A9183AE03D9C}" name="TIPO" dataDxfId="3"/>
    <tableColumn id="13" xr3:uid="{22D1CE1C-C294-4392-B99F-85E60BD97F2D}" name="DM"/>
    <tableColumn id="14" xr3:uid="{E82209B6-078E-4C58-819C-38BF8153C814}" name="CAPEX" dataDxfId="2"/>
    <tableColumn id="15" xr3:uid="{51A7E9D4-4015-834A-A8C3-11BD8A396ABE}" name="Prioridad" dataDxfId="1"/>
    <tableColumn id="16" xr3:uid="{7DEE8804-5BF7-274B-BE1D-09770C8B98CD}" name="Estrategi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.www.gob.pe/uploads/document/file/2997434/BEM02-2022.pdf.pdf" TargetMode="External"/><Relationship Id="rId18" Type="http://schemas.openxmlformats.org/officeDocument/2006/relationships/hyperlink" Target="https://www.desdeadentro.pe/2022/06/nuevos-proyectos-mineros-permitiran-reducir-la-pobreza-en-apurimac-cusco-y-puno/" TargetMode="External"/><Relationship Id="rId26" Type="http://schemas.openxmlformats.org/officeDocument/2006/relationships/hyperlink" Target="https://cooperaccion.org.pe/uranio-en-la-ecuacion-del-litio-un-riesgo-que-podremos-superar/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ojo-publico.com/3721/el-sector-minero-no-recupera-la-inversion-previa-la-pandemia" TargetMode="External"/><Relationship Id="rId34" Type="http://schemas.openxmlformats.org/officeDocument/2006/relationships/hyperlink" Target="https://cdn.www.gob.pe/uploads/document/file/4058035/Cartera%20de%20Proyectos%20de%20Inversi%C3%B3n%20Minera%202023.pdf?v=1674323732https://cdn.www.gob.pe/uploads/document/file/4058035/Cartera%20de%20Proyectos%20de%20Inversi%C3%B3n%20Minera%202023.pdf?v=1674323732" TargetMode="External"/><Relationship Id="rId7" Type="http://schemas.openxmlformats.org/officeDocument/2006/relationships/hyperlink" Target="https://www.dipromin.com/noticias/mineria/canariaco-se-reformula-rumbo-a-factibilidad-pero-precio-de-cobre-limita-avance/" TargetMode="External"/><Relationship Id="rId12" Type="http://schemas.openxmlformats.org/officeDocument/2006/relationships/hyperlink" Target="https://www.rumbominero.com/peru/noticias/mineria/amazonas-exploracion-proyecto-zinc-canon-de-florida/" TargetMode="External"/><Relationship Id="rId17" Type="http://schemas.openxmlformats.org/officeDocument/2006/relationships/hyperlink" Target="https://www.solidaridadsouthamerica.org/news/minera-artesanal-san-luis-se-certific%C3%B3-en-oro-responsable/" TargetMode="External"/><Relationship Id="rId25" Type="http://schemas.openxmlformats.org/officeDocument/2006/relationships/hyperlink" Target="https://www.desdeadentro.pe/2022/04/los-retos-de-construir-las-proximas-minas/" TargetMode="External"/><Relationship Id="rId33" Type="http://schemas.openxmlformats.org/officeDocument/2006/relationships/hyperlink" Target="https://cdn.www.gob.pe/uploads/document/file/4058035/Cartera%20de%20Proyectos%20de%20Inversi%C3%B3n%20Minera%202023.pdf?v=1674323732https://cdn.www.gob.pe/uploads/document/file/4058035/Cartera%20de%20Proyectos%20de%20Inversi%C3%B3n%20Minera%202023.pdf?v=1674323732" TargetMode="External"/><Relationship Id="rId38" Type="http://schemas.openxmlformats.org/officeDocument/2006/relationships/vmlDrawing" Target="../drawings/vmlDrawing1.vml"/><Relationship Id="rId2" Type="http://schemas.openxmlformats.org/officeDocument/2006/relationships/hyperlink" Target="https://cdn.www.gob.pe/uploads/document/file/2997434/BEM02-2022.pdf.pdf" TargetMode="External"/><Relationship Id="rId16" Type="http://schemas.openxmlformats.org/officeDocument/2006/relationships/hyperlink" Target="https://cdn.www.gob.pe/uploads/document/file/2997434/BEM02-2022.pdf.pdf" TargetMode="External"/><Relationship Id="rId20" Type="http://schemas.openxmlformats.org/officeDocument/2006/relationships/hyperlink" Target="https://es.euronews.com/next/2022/05/17/mineria-peru-inversiones" TargetMode="External"/><Relationship Id="rId29" Type="http://schemas.openxmlformats.org/officeDocument/2006/relationships/hyperlink" Target="https://muqui.org/noticias/huancavelica-minem-aprobara-proyecto-de-exploracion-pukaqaqa-sur-a-pesar-de-riesgo-hidrico/" TargetMode="External"/><Relationship Id="rId1" Type="http://schemas.openxmlformats.org/officeDocument/2006/relationships/hyperlink" Target="https://cdn.www.gob.pe/uploads/document/file/2997434/BEM02-2022.pdf.pdf" TargetMode="External"/><Relationship Id="rId6" Type="http://schemas.openxmlformats.org/officeDocument/2006/relationships/hyperlink" Target="https://cooperaccion.org.pe/noticias-ministerio-aprobo-plan-de-actividades-de-minera-rio-blanco/" TargetMode="External"/><Relationship Id="rId11" Type="http://schemas.openxmlformats.org/officeDocument/2006/relationships/hyperlink" Target="https://cdn.www.gob.pe/uploads/document/file/2997434/BEM02-2022.pdf.pdf" TargetMode="External"/><Relationship Id="rId24" Type="http://schemas.openxmlformats.org/officeDocument/2006/relationships/hyperlink" Target="https://www.rumbominero.com/peru/noticias/mineria/consulta-previa-proyecto-coroccohuayco/" TargetMode="External"/><Relationship Id="rId32" Type="http://schemas.openxmlformats.org/officeDocument/2006/relationships/hyperlink" Target="https://energiminas.com/cajamarca-southern-peru-inicia-exploracion-minera-en-michiquillay-con-140-perforaciones-diamantinas/" TargetMode="External"/><Relationship Id="rId37" Type="http://schemas.openxmlformats.org/officeDocument/2006/relationships/printerSettings" Target="../printerSettings/printerSettings1.bin"/><Relationship Id="rId40" Type="http://schemas.openxmlformats.org/officeDocument/2006/relationships/comments" Target="../comments1.xml"/><Relationship Id="rId5" Type="http://schemas.openxmlformats.org/officeDocument/2006/relationships/hyperlink" Target="https://www.infobae.com/america/peru/2022/10/08/preocupacion-por-posible-paralizacion-de-mina-de-cobre-quellaveco-que-podria-impactar-negativamente-a-economia-peruana/" TargetMode="External"/><Relationship Id="rId15" Type="http://schemas.openxmlformats.org/officeDocument/2006/relationships/hyperlink" Target="https://cdn.www.gob.pe/uploads/document/file/2997434/BEM02-2022.pdf.pdf" TargetMode="External"/><Relationship Id="rId23" Type="http://schemas.openxmlformats.org/officeDocument/2006/relationships/hyperlink" Target="https://www.rumbominero.com/peru/noticias/mineria/apurimac-cusco-y-puno-mas-s-3300-millones-canon-y-regalias/" TargetMode="External"/><Relationship Id="rId28" Type="http://schemas.openxmlformats.org/officeDocument/2006/relationships/hyperlink" Target="https://www.rumbominero.com/peru/noticias/mineria/jinzhao-mining-modificar-pampa-pongo/" TargetMode="External"/><Relationship Id="rId36" Type="http://schemas.openxmlformats.org/officeDocument/2006/relationships/hyperlink" Target="https://www.petrotransp.net/sabias-que-existen-7-proyectos-mineros-que-se-realizan-este-2022" TargetMode="External"/><Relationship Id="rId10" Type="http://schemas.openxmlformats.org/officeDocument/2006/relationships/hyperlink" Target="https://www.rumbominero.com/peru/proyecto-ayawilca-tinka-resources/" TargetMode="External"/><Relationship Id="rId19" Type="http://schemas.openxmlformats.org/officeDocument/2006/relationships/hyperlink" Target="https://www.rumbominero.com/peru/panoro-minerals-cierra-venta-del-proyecto-de-cobre-antilla/" TargetMode="External"/><Relationship Id="rId31" Type="http://schemas.openxmlformats.org/officeDocument/2006/relationships/hyperlink" Target="https://elcomercio.pe/economia/buenaventura-reinicia-construccion-de-proyecto-san-gabriel-con-una-inversion-de-hasta-us-470-millones-rmmn-noticia/" TargetMode="External"/><Relationship Id="rId4" Type="http://schemas.openxmlformats.org/officeDocument/2006/relationships/hyperlink" Target="https://cdn.www.gob.pe/uploads/document/file/2997434/BEM02-2022.pdf.pdf" TargetMode="External"/><Relationship Id="rId9" Type="http://schemas.openxmlformats.org/officeDocument/2006/relationships/hyperlink" Target="https://www.rumbominero.com/peru/noticias/mineria/nexa-proyecto-exploracion-hilarion/" TargetMode="External"/><Relationship Id="rId14" Type="http://schemas.openxmlformats.org/officeDocument/2006/relationships/hyperlink" Target="https://cdn.www.gob.pe/uploads/document/file/2997434/BEM02-2022.pdf.pdf" TargetMode="External"/><Relationship Id="rId22" Type="http://schemas.openxmlformats.org/officeDocument/2006/relationships/hyperlink" Target="https://camiper.com/tiempominero-noticias-en-mineria-para-el-peru-y-el-mundo/nuevo-corredor-minero-en-apurimac-respaldado-por-mineras-que-operan-en-la-region/" TargetMode="External"/><Relationship Id="rId27" Type="http://schemas.openxmlformats.org/officeDocument/2006/relationships/hyperlink" Target="https://www.mineria-pa.com/noticias/proyecto-peruano-san-gabriel-podria-elevarse-hasta-los-usd-470-millones/" TargetMode="External"/><Relationship Id="rId30" Type="http://schemas.openxmlformats.org/officeDocument/2006/relationships/hyperlink" Target="https://www.mineria-pa.com/noticias/peru-american-lithium-inicia-los-trabajos-de-prefactibilidad-en-proyecto-falchani/" TargetMode="External"/><Relationship Id="rId35" Type="http://schemas.openxmlformats.org/officeDocument/2006/relationships/hyperlink" Target="https://www.rumbominero.com/peru/noticias/mineria/buenaventura-proyecto-trapiche-cobre/" TargetMode="External"/><Relationship Id="rId8" Type="http://schemas.openxmlformats.org/officeDocument/2006/relationships/hyperlink" Target="https://www.rcrperu.com/si-el-proyecto-tia-maria-empieza-a-operar-de-inmediato-recien-se-podra-creer-al-ministro-de-economia/" TargetMode="External"/><Relationship Id="rId3" Type="http://schemas.openxmlformats.org/officeDocument/2006/relationships/hyperlink" Target="https://cdn.www.gob.pe/uploads/document/file/2997434/BEM02-2022.pdf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"/>
  <sheetViews>
    <sheetView tabSelected="1" zoomScale="110" zoomScaleNormal="110" workbookViewId="0">
      <pane ySplit="1" topLeftCell="A6" activePane="bottomLeft" state="frozen"/>
      <selection pane="bottomLeft" activeCell="D23" sqref="D23"/>
    </sheetView>
  </sheetViews>
  <sheetFormatPr baseColWidth="10" defaultRowHeight="15" x14ac:dyDescent="0.2"/>
  <cols>
    <col min="1" max="1" width="6.5" style="4" customWidth="1"/>
    <col min="2" max="2" width="40.1640625" customWidth="1"/>
    <col min="3" max="3" width="41.6640625" bestFit="1" customWidth="1"/>
    <col min="4" max="4" width="26.6640625" style="16" bestFit="1" customWidth="1"/>
    <col min="5" max="5" width="12.1640625" style="4" bestFit="1" customWidth="1"/>
    <col min="6" max="6" width="18.33203125" style="4" bestFit="1" customWidth="1"/>
    <col min="7" max="7" width="45" style="4" bestFit="1" customWidth="1"/>
    <col min="8" max="8" width="15" bestFit="1" customWidth="1"/>
    <col min="9" max="9" width="14.1640625" style="4" bestFit="1" customWidth="1"/>
    <col min="10" max="10" width="12.6640625" style="4" bestFit="1" customWidth="1"/>
    <col min="11" max="11" width="19.1640625" bestFit="1" customWidth="1"/>
    <col min="12" max="12" width="20.83203125" style="4" bestFit="1" customWidth="1"/>
    <col min="14" max="15" width="10.83203125" style="4"/>
    <col min="16" max="16" width="13.6640625" style="4" bestFit="1" customWidth="1"/>
    <col min="17" max="17" width="255.83203125" bestFit="1" customWidth="1"/>
    <col min="18" max="18" width="18" bestFit="1" customWidth="1"/>
  </cols>
  <sheetData>
    <row r="1" spans="1:18" ht="32" x14ac:dyDescent="0.2">
      <c r="A1" s="1" t="s">
        <v>330</v>
      </c>
      <c r="B1" s="1" t="s">
        <v>332</v>
      </c>
      <c r="C1" s="1" t="s">
        <v>331</v>
      </c>
      <c r="D1" s="1" t="s">
        <v>0</v>
      </c>
      <c r="E1" s="1" t="s">
        <v>128</v>
      </c>
      <c r="F1" s="1" t="s">
        <v>2</v>
      </c>
      <c r="G1" s="1" t="s">
        <v>3</v>
      </c>
      <c r="H1" s="2" t="s">
        <v>1</v>
      </c>
      <c r="I1" s="3" t="s">
        <v>4</v>
      </c>
      <c r="J1" s="3" t="s">
        <v>5</v>
      </c>
      <c r="K1" s="44" t="s">
        <v>384</v>
      </c>
      <c r="L1" s="3" t="s">
        <v>379</v>
      </c>
      <c r="M1" s="3" t="s">
        <v>386</v>
      </c>
      <c r="N1" s="3" t="s">
        <v>487</v>
      </c>
      <c r="O1" s="3" t="s">
        <v>492</v>
      </c>
      <c r="P1" s="3" t="s">
        <v>493</v>
      </c>
      <c r="Q1" s="48" t="s">
        <v>553</v>
      </c>
      <c r="R1" t="s">
        <v>536</v>
      </c>
    </row>
    <row r="2" spans="1:18" s="14" customFormat="1" ht="18" customHeight="1" x14ac:dyDescent="0.2">
      <c r="A2" s="11">
        <v>34</v>
      </c>
      <c r="B2" s="12" t="s">
        <v>538</v>
      </c>
      <c r="C2" s="5" t="s">
        <v>87</v>
      </c>
      <c r="D2" s="42" t="s">
        <v>366</v>
      </c>
      <c r="E2" s="11" t="s">
        <v>72</v>
      </c>
      <c r="F2" s="11" t="s">
        <v>73</v>
      </c>
      <c r="G2" s="11" t="s">
        <v>88</v>
      </c>
      <c r="H2" s="13" t="s">
        <v>26</v>
      </c>
      <c r="I2" s="17">
        <v>-70.622110000000006</v>
      </c>
      <c r="J2" s="17">
        <v>-17.096755999999999</v>
      </c>
      <c r="K2" s="45">
        <v>30</v>
      </c>
      <c r="L2" s="45" t="s">
        <v>498</v>
      </c>
      <c r="N2" s="46">
        <v>5300</v>
      </c>
      <c r="O2" s="45">
        <v>2023</v>
      </c>
      <c r="P2" s="45" t="s">
        <v>494</v>
      </c>
      <c r="Q2" s="40" t="s">
        <v>501</v>
      </c>
      <c r="R2" s="41">
        <v>44898</v>
      </c>
    </row>
    <row r="3" spans="1:18" s="14" customFormat="1" ht="18" customHeight="1" x14ac:dyDescent="0.2">
      <c r="A3" s="11">
        <v>23</v>
      </c>
      <c r="B3" s="12" t="s">
        <v>538</v>
      </c>
      <c r="C3" s="5" t="s">
        <v>106</v>
      </c>
      <c r="D3" s="49" t="s">
        <v>355</v>
      </c>
      <c r="E3" s="11" t="s">
        <v>47</v>
      </c>
      <c r="F3" s="11" t="s">
        <v>70</v>
      </c>
      <c r="G3" s="11" t="s">
        <v>71</v>
      </c>
      <c r="H3" s="13" t="s">
        <v>6</v>
      </c>
      <c r="I3" s="17">
        <v>-79.124661000000003</v>
      </c>
      <c r="J3" s="17">
        <v>-6.3526860000000003</v>
      </c>
      <c r="K3" s="45">
        <v>40</v>
      </c>
      <c r="L3" s="45" t="s">
        <v>498</v>
      </c>
      <c r="N3" s="46">
        <v>5000</v>
      </c>
      <c r="O3" s="45">
        <v>2023</v>
      </c>
      <c r="P3" s="45" t="s">
        <v>494</v>
      </c>
      <c r="Q3" s="14" t="s">
        <v>572</v>
      </c>
      <c r="R3" s="41">
        <v>44898</v>
      </c>
    </row>
    <row r="4" spans="1:18" s="14" customFormat="1" ht="18" customHeight="1" x14ac:dyDescent="0.2">
      <c r="A4" s="11">
        <v>17</v>
      </c>
      <c r="B4" s="12" t="s">
        <v>538</v>
      </c>
      <c r="C4" s="5" t="s">
        <v>57</v>
      </c>
      <c r="D4" s="49" t="s">
        <v>349</v>
      </c>
      <c r="E4" s="11" t="s">
        <v>47</v>
      </c>
      <c r="F4" s="11" t="s">
        <v>133</v>
      </c>
      <c r="G4" s="11" t="s">
        <v>119</v>
      </c>
      <c r="H4" s="13" t="s">
        <v>58</v>
      </c>
      <c r="I4" s="17">
        <v>-78.322522000000006</v>
      </c>
      <c r="J4" s="17">
        <v>-6.971533</v>
      </c>
      <c r="K4" s="45">
        <v>20</v>
      </c>
      <c r="L4" s="45" t="s">
        <v>498</v>
      </c>
      <c r="N4" s="46">
        <v>3500</v>
      </c>
      <c r="O4" s="45">
        <v>2023</v>
      </c>
      <c r="P4" s="45" t="s">
        <v>494</v>
      </c>
      <c r="Q4" s="14" t="s">
        <v>511</v>
      </c>
      <c r="R4" s="41">
        <v>44898</v>
      </c>
    </row>
    <row r="5" spans="1:18" s="14" customFormat="1" ht="18" customHeight="1" x14ac:dyDescent="0.2">
      <c r="A5" s="11">
        <v>25</v>
      </c>
      <c r="B5" s="12" t="s">
        <v>538</v>
      </c>
      <c r="C5" s="5" t="s">
        <v>108</v>
      </c>
      <c r="D5" s="49" t="s">
        <v>357</v>
      </c>
      <c r="E5" s="11" t="s">
        <v>14</v>
      </c>
      <c r="F5" s="11" t="s">
        <v>75</v>
      </c>
      <c r="G5" s="11" t="s">
        <v>76</v>
      </c>
      <c r="H5" s="13" t="s">
        <v>6</v>
      </c>
      <c r="I5" s="17">
        <v>-73.121125000000006</v>
      </c>
      <c r="J5" s="17">
        <v>-14.160418999999999</v>
      </c>
      <c r="K5" s="45">
        <v>18</v>
      </c>
      <c r="L5" s="45" t="s">
        <v>498</v>
      </c>
      <c r="N5" s="46">
        <v>2600</v>
      </c>
      <c r="O5" s="45">
        <v>2027</v>
      </c>
      <c r="P5" s="45" t="s">
        <v>496</v>
      </c>
      <c r="Q5" s="40" t="s">
        <v>554</v>
      </c>
      <c r="R5" s="41">
        <v>44881</v>
      </c>
    </row>
    <row r="6" spans="1:18" s="14" customFormat="1" ht="18" customHeight="1" x14ac:dyDescent="0.2">
      <c r="A6" s="11">
        <v>28</v>
      </c>
      <c r="B6" s="12" t="s">
        <v>538</v>
      </c>
      <c r="C6" s="5" t="s">
        <v>108</v>
      </c>
      <c r="D6" s="49" t="s">
        <v>360</v>
      </c>
      <c r="E6" s="11" t="s">
        <v>47</v>
      </c>
      <c r="F6" s="11" t="s">
        <v>47</v>
      </c>
      <c r="G6" s="11" t="s">
        <v>120</v>
      </c>
      <c r="H6" s="13" t="s">
        <v>6</v>
      </c>
      <c r="I6" s="17">
        <v>-78.320964000000004</v>
      </c>
      <c r="J6" s="17">
        <v>-7.0307110000000002</v>
      </c>
      <c r="K6" s="45">
        <v>25</v>
      </c>
      <c r="L6" s="45" t="s">
        <v>498</v>
      </c>
      <c r="N6" s="46">
        <v>2500</v>
      </c>
      <c r="O6" s="45">
        <v>2025</v>
      </c>
      <c r="P6" s="45" t="s">
        <v>495</v>
      </c>
      <c r="Q6" s="40" t="s">
        <v>548</v>
      </c>
      <c r="R6" s="41">
        <v>44881</v>
      </c>
    </row>
    <row r="7" spans="1:18" s="14" customFormat="1" ht="18" customHeight="1" x14ac:dyDescent="0.2">
      <c r="A7" s="11">
        <v>35</v>
      </c>
      <c r="B7" s="12" t="s">
        <v>538</v>
      </c>
      <c r="C7" s="5" t="s">
        <v>89</v>
      </c>
      <c r="D7" s="49" t="s">
        <v>367</v>
      </c>
      <c r="E7" s="11" t="s">
        <v>90</v>
      </c>
      <c r="F7" s="11" t="s">
        <v>91</v>
      </c>
      <c r="G7" s="11" t="s">
        <v>92</v>
      </c>
      <c r="H7" s="13" t="s">
        <v>26</v>
      </c>
      <c r="I7" s="17">
        <v>-79.350887</v>
      </c>
      <c r="J7" s="17">
        <v>-4.881691</v>
      </c>
      <c r="K7" s="45">
        <v>20</v>
      </c>
      <c r="L7" s="45" t="s">
        <v>498</v>
      </c>
      <c r="N7" s="46">
        <v>2500</v>
      </c>
      <c r="O7" s="45">
        <v>2025</v>
      </c>
      <c r="P7" s="45" t="s">
        <v>495</v>
      </c>
      <c r="Q7" s="40" t="s">
        <v>512</v>
      </c>
      <c r="R7" s="41">
        <v>44881</v>
      </c>
    </row>
    <row r="8" spans="1:18" s="14" customFormat="1" ht="18" customHeight="1" x14ac:dyDescent="0.2">
      <c r="A8" s="11">
        <v>11</v>
      </c>
      <c r="B8" s="12" t="s">
        <v>538</v>
      </c>
      <c r="C8" s="5" t="s">
        <v>116</v>
      </c>
      <c r="D8" s="49" t="s">
        <v>566</v>
      </c>
      <c r="E8" s="11" t="s">
        <v>41</v>
      </c>
      <c r="F8" s="11" t="s">
        <v>117</v>
      </c>
      <c r="G8" s="11" t="s">
        <v>118</v>
      </c>
      <c r="H8" s="13" t="s">
        <v>6</v>
      </c>
      <c r="I8" s="17">
        <v>-79.269188999999997</v>
      </c>
      <c r="J8" s="17">
        <v>-6.0934340000000002</v>
      </c>
      <c r="K8" s="45">
        <v>22</v>
      </c>
      <c r="L8" s="45" t="s">
        <v>498</v>
      </c>
      <c r="N8" s="46">
        <v>1043</v>
      </c>
      <c r="O8" s="45">
        <v>2025</v>
      </c>
      <c r="P8" s="45" t="s">
        <v>495</v>
      </c>
      <c r="Q8" s="40" t="s">
        <v>513</v>
      </c>
      <c r="R8" s="41">
        <v>44881</v>
      </c>
    </row>
    <row r="9" spans="1:18" s="14" customFormat="1" ht="18" customHeight="1" x14ac:dyDescent="0.2">
      <c r="A9" s="11">
        <v>15</v>
      </c>
      <c r="B9" s="12" t="s">
        <v>538</v>
      </c>
      <c r="C9" s="5" t="s">
        <v>125</v>
      </c>
      <c r="D9" s="49" t="s">
        <v>347</v>
      </c>
      <c r="E9" s="11" t="s">
        <v>14</v>
      </c>
      <c r="F9" s="11" t="s">
        <v>15</v>
      </c>
      <c r="G9" s="11" t="s">
        <v>15</v>
      </c>
      <c r="H9" s="13" t="s">
        <v>53</v>
      </c>
      <c r="I9" s="17">
        <v>-72.359508000000005</v>
      </c>
      <c r="J9" s="17">
        <v>-13.737256</v>
      </c>
      <c r="K9" s="45">
        <v>20</v>
      </c>
      <c r="L9" s="45" t="s">
        <v>498</v>
      </c>
      <c r="N9" s="46">
        <v>1486</v>
      </c>
      <c r="O9" s="45">
        <v>2025</v>
      </c>
      <c r="P9" s="45" t="s">
        <v>495</v>
      </c>
      <c r="Q9" s="14" t="s">
        <v>514</v>
      </c>
      <c r="R9" s="41">
        <v>44881</v>
      </c>
    </row>
    <row r="10" spans="1:18" s="14" customFormat="1" ht="18" customHeight="1" x14ac:dyDescent="0.2">
      <c r="A10" s="11">
        <v>39</v>
      </c>
      <c r="B10" s="12" t="s">
        <v>538</v>
      </c>
      <c r="C10" s="5" t="s">
        <v>108</v>
      </c>
      <c r="D10" s="49" t="s">
        <v>371</v>
      </c>
      <c r="E10" s="11" t="s">
        <v>55</v>
      </c>
      <c r="F10" s="11" t="s">
        <v>98</v>
      </c>
      <c r="G10" s="11" t="s">
        <v>137</v>
      </c>
      <c r="H10" s="13" t="s">
        <v>6</v>
      </c>
      <c r="I10" s="17">
        <v>-71.770694000000006</v>
      </c>
      <c r="J10" s="17">
        <v>-17.014408</v>
      </c>
      <c r="K10" s="45">
        <v>20</v>
      </c>
      <c r="L10" s="45" t="s">
        <v>498</v>
      </c>
      <c r="N10" s="46">
        <v>1400</v>
      </c>
      <c r="O10" s="45">
        <v>2024</v>
      </c>
      <c r="P10" s="45" t="s">
        <v>495</v>
      </c>
      <c r="Q10" s="40" t="s">
        <v>515</v>
      </c>
      <c r="R10" s="41">
        <v>44881</v>
      </c>
    </row>
    <row r="11" spans="1:18" s="14" customFormat="1" ht="18" customHeight="1" x14ac:dyDescent="0.2">
      <c r="A11" s="11">
        <v>6</v>
      </c>
      <c r="B11" s="12" t="s">
        <v>538</v>
      </c>
      <c r="C11" s="5" t="s">
        <v>103</v>
      </c>
      <c r="D11" s="49" t="s">
        <v>340</v>
      </c>
      <c r="E11" s="39" t="s">
        <v>455</v>
      </c>
      <c r="F11" s="11" t="s">
        <v>24</v>
      </c>
      <c r="G11" s="11" t="s">
        <v>25</v>
      </c>
      <c r="H11" s="13" t="s">
        <v>6</v>
      </c>
      <c r="I11" s="17">
        <v>-76.143247000000002</v>
      </c>
      <c r="J11" s="17">
        <v>-11.608978</v>
      </c>
      <c r="K11" s="45">
        <v>25</v>
      </c>
      <c r="L11" s="45" t="s">
        <v>498</v>
      </c>
      <c r="N11" s="46">
        <v>1355</v>
      </c>
      <c r="O11" s="45">
        <v>2023</v>
      </c>
      <c r="P11" s="45" t="s">
        <v>494</v>
      </c>
      <c r="Q11" s="40" t="s">
        <v>540</v>
      </c>
      <c r="R11" s="41">
        <v>44898</v>
      </c>
    </row>
    <row r="12" spans="1:18" s="14" customFormat="1" ht="18" customHeight="1" x14ac:dyDescent="0.2">
      <c r="A12" s="11">
        <v>18</v>
      </c>
      <c r="B12" s="12" t="s">
        <v>538</v>
      </c>
      <c r="C12" s="5" t="s">
        <v>104</v>
      </c>
      <c r="D12" s="49" t="s">
        <v>350</v>
      </c>
      <c r="E12" s="11" t="s">
        <v>453</v>
      </c>
      <c r="F12" s="11" t="s">
        <v>19</v>
      </c>
      <c r="G12" s="11" t="s">
        <v>20</v>
      </c>
      <c r="H12" s="13" t="s">
        <v>59</v>
      </c>
      <c r="I12" s="17">
        <v>-77.009495999999999</v>
      </c>
      <c r="J12" s="17">
        <v>-9.9809730000000005</v>
      </c>
      <c r="K12" s="45">
        <v>16</v>
      </c>
      <c r="L12" s="45" t="s">
        <v>497</v>
      </c>
      <c r="N12" s="46">
        <v>585</v>
      </c>
      <c r="O12" s="45">
        <v>2024</v>
      </c>
      <c r="P12" s="45" t="s">
        <v>495</v>
      </c>
      <c r="Q12" s="40" t="s">
        <v>516</v>
      </c>
      <c r="R12" s="41">
        <v>44881</v>
      </c>
    </row>
    <row r="13" spans="1:18" s="14" customFormat="1" ht="18" customHeight="1" x14ac:dyDescent="0.2">
      <c r="A13" s="11">
        <v>14</v>
      </c>
      <c r="B13" s="12" t="s">
        <v>538</v>
      </c>
      <c r="C13" s="5" t="s">
        <v>48</v>
      </c>
      <c r="D13" s="49" t="s">
        <v>346</v>
      </c>
      <c r="E13" s="11" t="s">
        <v>51</v>
      </c>
      <c r="F13" s="11" t="s">
        <v>52</v>
      </c>
      <c r="G13" s="11" t="s">
        <v>49</v>
      </c>
      <c r="H13" s="13" t="s">
        <v>50</v>
      </c>
      <c r="I13" s="17">
        <v>-70.647107000000005</v>
      </c>
      <c r="J13" s="17">
        <v>-13.932463</v>
      </c>
      <c r="K13" s="45">
        <v>20</v>
      </c>
      <c r="L13" s="45" t="s">
        <v>498</v>
      </c>
      <c r="N13" s="46">
        <v>700</v>
      </c>
      <c r="O13" s="45">
        <v>2024</v>
      </c>
      <c r="P13" s="45" t="s">
        <v>495</v>
      </c>
      <c r="Q13" s="40" t="s">
        <v>502</v>
      </c>
      <c r="R13" s="41">
        <v>44881</v>
      </c>
    </row>
    <row r="14" spans="1:18" s="14" customFormat="1" ht="18" customHeight="1" x14ac:dyDescent="0.2">
      <c r="A14" s="11">
        <v>9</v>
      </c>
      <c r="B14" s="12" t="s">
        <v>538</v>
      </c>
      <c r="C14" s="5" t="s">
        <v>32</v>
      </c>
      <c r="D14" s="49" t="s">
        <v>343</v>
      </c>
      <c r="E14" s="11" t="s">
        <v>34</v>
      </c>
      <c r="F14" s="11" t="s">
        <v>131</v>
      </c>
      <c r="G14" s="11" t="s">
        <v>35</v>
      </c>
      <c r="H14" s="13" t="s">
        <v>33</v>
      </c>
      <c r="I14" s="17">
        <v>-76.522051000000005</v>
      </c>
      <c r="J14" s="17">
        <v>-10.43838</v>
      </c>
      <c r="K14" s="45">
        <v>14.4</v>
      </c>
      <c r="L14" s="45" t="s">
        <v>497</v>
      </c>
      <c r="N14" s="46">
        <v>264</v>
      </c>
      <c r="O14" s="45">
        <v>2025</v>
      </c>
      <c r="P14" s="45" t="s">
        <v>495</v>
      </c>
      <c r="Q14" s="40" t="s">
        <v>517</v>
      </c>
      <c r="R14" s="41">
        <v>44881</v>
      </c>
    </row>
    <row r="15" spans="1:18" s="14" customFormat="1" ht="18" customHeight="1" x14ac:dyDescent="0.2">
      <c r="A15" s="11">
        <v>36</v>
      </c>
      <c r="B15" s="12" t="s">
        <v>538</v>
      </c>
      <c r="C15" s="5" t="s">
        <v>114</v>
      </c>
      <c r="D15" s="49" t="s">
        <v>368</v>
      </c>
      <c r="E15" s="11" t="s">
        <v>72</v>
      </c>
      <c r="F15" s="11" t="s">
        <v>130</v>
      </c>
      <c r="G15" s="11" t="s">
        <v>122</v>
      </c>
      <c r="H15" s="13" t="s">
        <v>65</v>
      </c>
      <c r="I15" s="17">
        <v>-70.548269000000005</v>
      </c>
      <c r="J15" s="17">
        <v>-16.211713</v>
      </c>
      <c r="K15" s="45">
        <v>10</v>
      </c>
      <c r="L15" s="45" t="s">
        <v>497</v>
      </c>
      <c r="N15" s="46">
        <v>470</v>
      </c>
      <c r="O15" s="45">
        <v>2024</v>
      </c>
      <c r="P15" s="45" t="s">
        <v>495</v>
      </c>
      <c r="Q15" s="40" t="s">
        <v>541</v>
      </c>
      <c r="R15" s="41">
        <v>44881</v>
      </c>
    </row>
    <row r="16" spans="1:18" s="14" customFormat="1" ht="18" customHeight="1" x14ac:dyDescent="0.2">
      <c r="A16" s="11">
        <v>10</v>
      </c>
      <c r="B16" s="12" t="s">
        <v>538</v>
      </c>
      <c r="C16" s="5" t="s">
        <v>36</v>
      </c>
      <c r="D16" s="42" t="s">
        <v>344</v>
      </c>
      <c r="E16" s="11" t="s">
        <v>38</v>
      </c>
      <c r="F16" s="11" t="s">
        <v>39</v>
      </c>
      <c r="G16" s="11" t="s">
        <v>40</v>
      </c>
      <c r="H16" s="13" t="s">
        <v>37</v>
      </c>
      <c r="I16" s="17">
        <v>-71.896941999999996</v>
      </c>
      <c r="J16" s="17">
        <v>-13.971626000000001</v>
      </c>
      <c r="K16" s="45">
        <v>6</v>
      </c>
      <c r="L16" s="45" t="s">
        <v>499</v>
      </c>
      <c r="N16" s="46">
        <v>346</v>
      </c>
      <c r="O16" s="45">
        <v>2025</v>
      </c>
      <c r="P16" s="45" t="s">
        <v>495</v>
      </c>
      <c r="Q16" s="40" t="s">
        <v>518</v>
      </c>
      <c r="R16" s="41">
        <v>44881</v>
      </c>
    </row>
    <row r="17" spans="1:18" s="14" customFormat="1" ht="18" customHeight="1" x14ac:dyDescent="0.2">
      <c r="A17" s="11">
        <v>12</v>
      </c>
      <c r="B17" s="12" t="s">
        <v>538</v>
      </c>
      <c r="C17" s="5" t="s">
        <v>104</v>
      </c>
      <c r="D17" s="49" t="s">
        <v>567</v>
      </c>
      <c r="E17" s="11" t="s">
        <v>43</v>
      </c>
      <c r="F17" s="11" t="s">
        <v>132</v>
      </c>
      <c r="G17" s="11" t="s">
        <v>44</v>
      </c>
      <c r="H17" s="13" t="s">
        <v>42</v>
      </c>
      <c r="I17" s="17">
        <v>-78.063152000000002</v>
      </c>
      <c r="J17" s="17">
        <v>-5.8491010000000001</v>
      </c>
      <c r="K17" s="45">
        <v>12.5</v>
      </c>
      <c r="L17" s="45" t="s">
        <v>497</v>
      </c>
      <c r="N17" s="46">
        <v>214</v>
      </c>
      <c r="O17" s="45">
        <v>2026</v>
      </c>
      <c r="P17" s="45" t="s">
        <v>496</v>
      </c>
      <c r="Q17" s="40" t="s">
        <v>519</v>
      </c>
      <c r="R17" s="41">
        <v>44881</v>
      </c>
    </row>
    <row r="18" spans="1:18" s="14" customFormat="1" ht="18" customHeight="1" x14ac:dyDescent="0.2">
      <c r="A18" s="11">
        <v>30</v>
      </c>
      <c r="B18" s="12" t="s">
        <v>538</v>
      </c>
      <c r="C18" s="5" t="s">
        <v>83</v>
      </c>
      <c r="D18" s="49" t="s">
        <v>362</v>
      </c>
      <c r="E18" s="11" t="s">
        <v>51</v>
      </c>
      <c r="F18" s="11" t="s">
        <v>52</v>
      </c>
      <c r="G18" s="11" t="s">
        <v>84</v>
      </c>
      <c r="H18" s="13" t="s">
        <v>21</v>
      </c>
      <c r="I18" s="17">
        <v>-70.487643000000006</v>
      </c>
      <c r="J18" s="17">
        <v>-13.797475</v>
      </c>
      <c r="K18" s="45">
        <v>11</v>
      </c>
      <c r="L18" s="45" t="s">
        <v>497</v>
      </c>
      <c r="N18" s="46">
        <v>89</v>
      </c>
      <c r="O18" s="45">
        <v>2024</v>
      </c>
      <c r="P18" s="45" t="s">
        <v>495</v>
      </c>
      <c r="Q18" s="40" t="s">
        <v>520</v>
      </c>
      <c r="R18" s="41">
        <v>44881</v>
      </c>
    </row>
    <row r="19" spans="1:18" s="14" customFormat="1" ht="18" customHeight="1" x14ac:dyDescent="0.2">
      <c r="A19" s="11">
        <v>8</v>
      </c>
      <c r="B19" s="12" t="s">
        <v>538</v>
      </c>
      <c r="C19" s="5" t="s">
        <v>29</v>
      </c>
      <c r="D19" s="49" t="s">
        <v>342</v>
      </c>
      <c r="E19" s="11" t="s">
        <v>455</v>
      </c>
      <c r="F19" s="11" t="s">
        <v>24</v>
      </c>
      <c r="G19" s="11" t="s">
        <v>31</v>
      </c>
      <c r="H19" s="13" t="s">
        <v>30</v>
      </c>
      <c r="I19" s="17">
        <v>-76.334322</v>
      </c>
      <c r="J19" s="17">
        <v>-11.487183999999999</v>
      </c>
      <c r="K19" s="45">
        <v>10</v>
      </c>
      <c r="L19" s="45" t="s">
        <v>497</v>
      </c>
      <c r="N19" s="46">
        <v>140</v>
      </c>
      <c r="O19" s="45">
        <v>2024</v>
      </c>
      <c r="P19" s="45" t="s">
        <v>495</v>
      </c>
      <c r="Q19" s="40" t="s">
        <v>521</v>
      </c>
      <c r="R19" s="41">
        <v>44881</v>
      </c>
    </row>
    <row r="20" spans="1:18" s="14" customFormat="1" ht="18" customHeight="1" x14ac:dyDescent="0.2">
      <c r="A20" s="11">
        <v>4</v>
      </c>
      <c r="B20" s="12" t="s">
        <v>538</v>
      </c>
      <c r="C20" s="5" t="s">
        <v>17</v>
      </c>
      <c r="D20" s="49" t="s">
        <v>338</v>
      </c>
      <c r="E20" s="11" t="s">
        <v>453</v>
      </c>
      <c r="F20" s="11" t="s">
        <v>19</v>
      </c>
      <c r="G20" s="11" t="s">
        <v>20</v>
      </c>
      <c r="H20" s="13" t="s">
        <v>18</v>
      </c>
      <c r="I20" s="17">
        <v>-77.056014000000005</v>
      </c>
      <c r="J20" s="17">
        <v>-9.9501229999999996</v>
      </c>
      <c r="K20" s="45">
        <v>11</v>
      </c>
      <c r="L20" s="45" t="s">
        <v>497</v>
      </c>
      <c r="N20" s="46">
        <v>117</v>
      </c>
      <c r="O20" s="45">
        <v>2025</v>
      </c>
      <c r="P20" s="45" t="s">
        <v>495</v>
      </c>
      <c r="Q20" s="40" t="s">
        <v>520</v>
      </c>
      <c r="R20" s="41">
        <v>44881</v>
      </c>
    </row>
    <row r="21" spans="1:18" s="14" customFormat="1" ht="18" customHeight="1" x14ac:dyDescent="0.2">
      <c r="A21" s="11">
        <v>38</v>
      </c>
      <c r="B21" s="12" t="s">
        <v>538</v>
      </c>
      <c r="C21" s="5" t="s">
        <v>104</v>
      </c>
      <c r="D21" s="49" t="s">
        <v>370</v>
      </c>
      <c r="E21" s="11" t="s">
        <v>455</v>
      </c>
      <c r="F21" s="11" t="s">
        <v>129</v>
      </c>
      <c r="G21" s="11" t="s">
        <v>97</v>
      </c>
      <c r="H21" s="13" t="s">
        <v>33</v>
      </c>
      <c r="I21" s="17">
        <v>-75.973984999999999</v>
      </c>
      <c r="J21" s="17">
        <v>-10.855857</v>
      </c>
      <c r="K21" s="45">
        <v>15</v>
      </c>
      <c r="L21" s="45" t="s">
        <v>497</v>
      </c>
      <c r="N21" s="46">
        <v>91</v>
      </c>
      <c r="O21" s="45">
        <v>2025</v>
      </c>
      <c r="P21" s="45" t="s">
        <v>495</v>
      </c>
      <c r="Q21" s="40" t="s">
        <v>518</v>
      </c>
      <c r="R21" s="41">
        <v>44881</v>
      </c>
    </row>
    <row r="22" spans="1:18" s="14" customFormat="1" ht="18" customHeight="1" x14ac:dyDescent="0.2">
      <c r="A22" s="11">
        <v>37</v>
      </c>
      <c r="B22" s="12" t="s">
        <v>538</v>
      </c>
      <c r="C22" s="5" t="s">
        <v>93</v>
      </c>
      <c r="D22" s="49" t="s">
        <v>369</v>
      </c>
      <c r="E22" s="11" t="s">
        <v>453</v>
      </c>
      <c r="F22" s="11" t="s">
        <v>95</v>
      </c>
      <c r="G22" s="11" t="s">
        <v>96</v>
      </c>
      <c r="H22" s="13" t="s">
        <v>94</v>
      </c>
      <c r="I22" s="17">
        <v>-77.777687</v>
      </c>
      <c r="J22" s="17">
        <v>-9.4044830000000008</v>
      </c>
      <c r="K22" s="45">
        <v>3.5</v>
      </c>
      <c r="L22" s="45" t="s">
        <v>497</v>
      </c>
      <c r="N22" s="46">
        <v>90</v>
      </c>
      <c r="O22" s="45">
        <v>2025</v>
      </c>
      <c r="P22" s="45" t="s">
        <v>495</v>
      </c>
      <c r="Q22" s="40" t="s">
        <v>522</v>
      </c>
      <c r="R22" s="41">
        <v>44881</v>
      </c>
    </row>
    <row r="23" spans="1:18" s="14" customFormat="1" ht="18" customHeight="1" x14ac:dyDescent="0.2">
      <c r="A23" s="11">
        <v>33</v>
      </c>
      <c r="B23" s="12" t="s">
        <v>538</v>
      </c>
      <c r="C23" s="5" t="s">
        <v>113</v>
      </c>
      <c r="D23" s="49" t="s">
        <v>365</v>
      </c>
      <c r="E23" s="11" t="s">
        <v>38</v>
      </c>
      <c r="F23" s="11" t="s">
        <v>69</v>
      </c>
      <c r="G23" s="11" t="s">
        <v>69</v>
      </c>
      <c r="H23" s="13" t="s">
        <v>6</v>
      </c>
      <c r="I23" s="17">
        <v>-71.293571999999998</v>
      </c>
      <c r="J23" s="17">
        <v>-14.977722</v>
      </c>
      <c r="K23" s="45">
        <v>17</v>
      </c>
      <c r="L23" s="45" t="s">
        <v>498</v>
      </c>
      <c r="N23" s="46">
        <v>1290</v>
      </c>
      <c r="O23" s="45">
        <v>2025</v>
      </c>
      <c r="P23" s="45" t="s">
        <v>495</v>
      </c>
      <c r="Q23" s="40" t="s">
        <v>523</v>
      </c>
      <c r="R23" s="41">
        <v>44881</v>
      </c>
    </row>
    <row r="24" spans="1:18" s="14" customFormat="1" ht="18" customHeight="1" x14ac:dyDescent="0.2">
      <c r="A24" s="11">
        <v>1</v>
      </c>
      <c r="B24" s="12" t="s">
        <v>538</v>
      </c>
      <c r="C24" s="5" t="s">
        <v>124</v>
      </c>
      <c r="D24" s="43" t="s">
        <v>335</v>
      </c>
      <c r="E24" s="11" t="s">
        <v>7</v>
      </c>
      <c r="F24" s="11" t="s">
        <v>8</v>
      </c>
      <c r="G24" s="11" t="s">
        <v>8</v>
      </c>
      <c r="H24" s="13" t="s">
        <v>6</v>
      </c>
      <c r="I24" s="17">
        <v>-77.295468</v>
      </c>
      <c r="J24" s="17">
        <v>-11.363156999999999</v>
      </c>
      <c r="K24" s="45">
        <v>0</v>
      </c>
      <c r="L24" s="45" t="s">
        <v>507</v>
      </c>
      <c r="N24" s="46">
        <v>410</v>
      </c>
      <c r="O24" s="45">
        <v>2024</v>
      </c>
      <c r="P24" s="45" t="s">
        <v>495</v>
      </c>
      <c r="Q24" s="40" t="s">
        <v>502</v>
      </c>
      <c r="R24" s="41">
        <v>44881</v>
      </c>
    </row>
    <row r="25" spans="1:18" s="14" customFormat="1" ht="18" customHeight="1" x14ac:dyDescent="0.2">
      <c r="A25" s="11">
        <v>2</v>
      </c>
      <c r="B25" s="12" t="s">
        <v>538</v>
      </c>
      <c r="C25" s="5" t="s">
        <v>9</v>
      </c>
      <c r="D25" s="49" t="s">
        <v>336</v>
      </c>
      <c r="E25" s="11" t="s">
        <v>10</v>
      </c>
      <c r="F25" s="11" t="s">
        <v>11</v>
      </c>
      <c r="G25" s="11" t="s">
        <v>12</v>
      </c>
      <c r="H25" s="13" t="s">
        <v>63</v>
      </c>
      <c r="I25" s="17">
        <v>-75.209040999999999</v>
      </c>
      <c r="J25" s="17">
        <v>-15.273638</v>
      </c>
      <c r="K25" s="45">
        <v>16</v>
      </c>
      <c r="L25" s="45" t="s">
        <v>500</v>
      </c>
      <c r="N25" s="46">
        <v>140</v>
      </c>
      <c r="O25" s="45">
        <v>2023</v>
      </c>
      <c r="P25" s="45" t="s">
        <v>494</v>
      </c>
      <c r="Q25" s="40" t="s">
        <v>502</v>
      </c>
      <c r="R25" s="41">
        <v>44881</v>
      </c>
    </row>
    <row r="26" spans="1:18" s="14" customFormat="1" ht="18" customHeight="1" x14ac:dyDescent="0.2">
      <c r="A26" s="11">
        <v>3</v>
      </c>
      <c r="B26" s="12" t="s">
        <v>538</v>
      </c>
      <c r="C26" s="5" t="s">
        <v>13</v>
      </c>
      <c r="D26" s="49" t="s">
        <v>337</v>
      </c>
      <c r="E26" s="11" t="s">
        <v>14</v>
      </c>
      <c r="F26" s="11" t="s">
        <v>15</v>
      </c>
      <c r="G26" s="11" t="s">
        <v>16</v>
      </c>
      <c r="H26" s="13" t="s">
        <v>6</v>
      </c>
      <c r="I26" s="17">
        <v>-72.295721</v>
      </c>
      <c r="J26" s="17">
        <v>-14.060765</v>
      </c>
      <c r="K26" s="45">
        <v>8</v>
      </c>
      <c r="L26" s="45" t="s">
        <v>498</v>
      </c>
      <c r="N26" s="46">
        <v>130</v>
      </c>
      <c r="O26" s="45">
        <v>2023</v>
      </c>
      <c r="P26" s="45" t="s">
        <v>494</v>
      </c>
      <c r="Q26" s="40" t="s">
        <v>542</v>
      </c>
      <c r="R26" s="41">
        <v>44881</v>
      </c>
    </row>
    <row r="27" spans="1:18" s="14" customFormat="1" ht="18" customHeight="1" x14ac:dyDescent="0.2">
      <c r="A27" s="11">
        <v>5</v>
      </c>
      <c r="B27" s="12" t="s">
        <v>538</v>
      </c>
      <c r="C27" s="5" t="s">
        <v>110</v>
      </c>
      <c r="D27" s="49" t="s">
        <v>339</v>
      </c>
      <c r="E27" s="11" t="s">
        <v>22</v>
      </c>
      <c r="F27" s="11" t="s">
        <v>23</v>
      </c>
      <c r="G27" s="11" t="s">
        <v>23</v>
      </c>
      <c r="H27" s="13" t="s">
        <v>21</v>
      </c>
      <c r="I27" s="17">
        <v>-77.589112999999998</v>
      </c>
      <c r="J27" s="17">
        <v>-7.7745009999999999</v>
      </c>
      <c r="K27" s="45">
        <v>22</v>
      </c>
      <c r="L27" s="45" t="s">
        <v>497</v>
      </c>
      <c r="N27" s="46">
        <v>121</v>
      </c>
      <c r="O27" s="45">
        <v>2023</v>
      </c>
      <c r="P27" s="45" t="s">
        <v>494</v>
      </c>
      <c r="Q27" s="40" t="s">
        <v>543</v>
      </c>
      <c r="R27" s="41">
        <v>44881</v>
      </c>
    </row>
    <row r="28" spans="1:18" s="14" customFormat="1" ht="18" customHeight="1" x14ac:dyDescent="0.2">
      <c r="A28" s="11">
        <v>7</v>
      </c>
      <c r="B28" s="12" t="s">
        <v>538</v>
      </c>
      <c r="C28" s="5" t="s">
        <v>125</v>
      </c>
      <c r="D28" s="49" t="s">
        <v>341</v>
      </c>
      <c r="E28" s="11" t="s">
        <v>14</v>
      </c>
      <c r="F28" s="11" t="s">
        <v>27</v>
      </c>
      <c r="G28" s="11" t="s">
        <v>28</v>
      </c>
      <c r="H28" s="13" t="s">
        <v>26</v>
      </c>
      <c r="I28" s="17">
        <v>-72.964652206699995</v>
      </c>
      <c r="J28" s="17">
        <v>-14.339387541100001</v>
      </c>
      <c r="K28" s="45">
        <v>17</v>
      </c>
      <c r="L28" s="45" t="s">
        <v>498</v>
      </c>
      <c r="N28" s="46">
        <v>250</v>
      </c>
      <c r="O28" s="45">
        <v>2025</v>
      </c>
      <c r="P28" s="45" t="s">
        <v>495</v>
      </c>
      <c r="Q28" s="40" t="s">
        <v>524</v>
      </c>
      <c r="R28" s="41">
        <v>44881</v>
      </c>
    </row>
    <row r="29" spans="1:18" s="14" customFormat="1" ht="18" customHeight="1" x14ac:dyDescent="0.2">
      <c r="A29" s="11">
        <v>13</v>
      </c>
      <c r="B29" s="12" t="s">
        <v>538</v>
      </c>
      <c r="C29" s="5" t="s">
        <v>45</v>
      </c>
      <c r="D29" s="49" t="s">
        <v>345</v>
      </c>
      <c r="E29" s="11" t="s">
        <v>47</v>
      </c>
      <c r="F29" s="11" t="s">
        <v>133</v>
      </c>
      <c r="G29" s="6" t="s">
        <v>140</v>
      </c>
      <c r="H29" s="13" t="s">
        <v>46</v>
      </c>
      <c r="I29" s="17">
        <v>-78.368548000000004</v>
      </c>
      <c r="J29" s="17">
        <v>-6.9041439999999996</v>
      </c>
      <c r="K29" s="45">
        <v>19</v>
      </c>
      <c r="L29" s="45" t="s">
        <v>498</v>
      </c>
      <c r="N29" s="46">
        <v>4800</v>
      </c>
      <c r="O29" s="45">
        <v>2024</v>
      </c>
      <c r="P29" s="45" t="s">
        <v>495</v>
      </c>
      <c r="Q29" s="40" t="s">
        <v>525</v>
      </c>
      <c r="R29" s="41">
        <v>44881</v>
      </c>
    </row>
    <row r="30" spans="1:18" s="14" customFormat="1" ht="18" customHeight="1" x14ac:dyDescent="0.2">
      <c r="A30" s="11">
        <v>16</v>
      </c>
      <c r="B30" s="12" t="s">
        <v>538</v>
      </c>
      <c r="C30" s="5" t="s">
        <v>54</v>
      </c>
      <c r="D30" s="49" t="s">
        <v>348</v>
      </c>
      <c r="E30" s="11" t="s">
        <v>55</v>
      </c>
      <c r="F30" s="11" t="s">
        <v>55</v>
      </c>
      <c r="G30" s="11" t="s">
        <v>56</v>
      </c>
      <c r="H30" s="13" t="s">
        <v>26</v>
      </c>
      <c r="I30" s="17">
        <v>-71.453033000000005</v>
      </c>
      <c r="J30" s="17">
        <v>-16.622215000000001</v>
      </c>
      <c r="K30" s="45">
        <v>15</v>
      </c>
      <c r="L30" s="45" t="s">
        <v>498</v>
      </c>
      <c r="N30" s="46">
        <v>600</v>
      </c>
      <c r="O30" s="45">
        <v>2025</v>
      </c>
      <c r="P30" s="45" t="s">
        <v>495</v>
      </c>
      <c r="Q30" s="40" t="s">
        <v>526</v>
      </c>
      <c r="R30" s="41">
        <v>44881</v>
      </c>
    </row>
    <row r="31" spans="1:18" s="14" customFormat="1" ht="18" customHeight="1" x14ac:dyDescent="0.2">
      <c r="A31" s="11">
        <v>19</v>
      </c>
      <c r="B31" s="12" t="s">
        <v>538</v>
      </c>
      <c r="C31" s="5" t="s">
        <v>105</v>
      </c>
      <c r="D31" s="49" t="s">
        <v>351</v>
      </c>
      <c r="E31" s="11" t="s">
        <v>14</v>
      </c>
      <c r="F31" s="11" t="s">
        <v>61</v>
      </c>
      <c r="G31" s="11" t="s">
        <v>62</v>
      </c>
      <c r="H31" s="13" t="s">
        <v>60</v>
      </c>
      <c r="I31" s="17">
        <v>-72.341581000000005</v>
      </c>
      <c r="J31" s="17">
        <v>-14.150339000000001</v>
      </c>
      <c r="K31" s="45">
        <v>20</v>
      </c>
      <c r="L31" s="45" t="s">
        <v>499</v>
      </c>
      <c r="N31" s="46">
        <v>1860</v>
      </c>
      <c r="O31" s="45">
        <v>2024</v>
      </c>
      <c r="P31" s="45" t="s">
        <v>495</v>
      </c>
      <c r="Q31" s="40" t="s">
        <v>527</v>
      </c>
      <c r="R31" s="41">
        <v>44881</v>
      </c>
    </row>
    <row r="32" spans="1:18" s="14" customFormat="1" ht="18" customHeight="1" x14ac:dyDescent="0.2">
      <c r="A32" s="11">
        <v>20</v>
      </c>
      <c r="B32" s="12" t="s">
        <v>538</v>
      </c>
      <c r="C32" s="5" t="s">
        <v>126</v>
      </c>
      <c r="D32" s="49" t="s">
        <v>352</v>
      </c>
      <c r="E32" s="11" t="s">
        <v>14</v>
      </c>
      <c r="F32" s="11" t="s">
        <v>64</v>
      </c>
      <c r="G32" s="11" t="s">
        <v>64</v>
      </c>
      <c r="H32" s="13" t="s">
        <v>63</v>
      </c>
      <c r="I32" s="17">
        <v>-73.326554000000002</v>
      </c>
      <c r="J32" s="17">
        <v>-13.728662</v>
      </c>
      <c r="K32" s="45">
        <v>20</v>
      </c>
      <c r="L32" s="45" t="s">
        <v>498</v>
      </c>
      <c r="N32" s="46">
        <v>2900</v>
      </c>
      <c r="O32" s="45">
        <v>2024</v>
      </c>
      <c r="P32" s="45" t="s">
        <v>495</v>
      </c>
      <c r="Q32" s="40" t="s">
        <v>528</v>
      </c>
      <c r="R32" s="41">
        <v>44881</v>
      </c>
    </row>
    <row r="33" spans="1:18" s="14" customFormat="1" ht="18" customHeight="1" x14ac:dyDescent="0.2">
      <c r="A33" s="11">
        <v>21</v>
      </c>
      <c r="B33" s="12" t="s">
        <v>538</v>
      </c>
      <c r="C33" s="5" t="s">
        <v>111</v>
      </c>
      <c r="D33" s="49" t="s">
        <v>573</v>
      </c>
      <c r="E33" s="11" t="s">
        <v>66</v>
      </c>
      <c r="F33" s="11" t="s">
        <v>67</v>
      </c>
      <c r="G33" s="11" t="s">
        <v>68</v>
      </c>
      <c r="H33" s="13" t="s">
        <v>65</v>
      </c>
      <c r="I33" s="17">
        <v>-73.235045</v>
      </c>
      <c r="J33" s="17">
        <v>-14.953450999999999</v>
      </c>
      <c r="K33" s="45">
        <v>0</v>
      </c>
      <c r="L33" s="45" t="s">
        <v>505</v>
      </c>
      <c r="N33" s="46">
        <v>1319</v>
      </c>
      <c r="O33" s="45">
        <v>2024</v>
      </c>
      <c r="P33" s="45" t="s">
        <v>495</v>
      </c>
      <c r="Q33" s="40" t="s">
        <v>544</v>
      </c>
      <c r="R33" s="41">
        <v>44881</v>
      </c>
    </row>
    <row r="34" spans="1:18" s="14" customFormat="1" ht="18" customHeight="1" x14ac:dyDescent="0.2">
      <c r="A34" s="11">
        <v>22</v>
      </c>
      <c r="B34" s="12" t="s">
        <v>538</v>
      </c>
      <c r="C34" s="5" t="s">
        <v>112</v>
      </c>
      <c r="D34" s="49" t="s">
        <v>354</v>
      </c>
      <c r="E34" s="11" t="s">
        <v>38</v>
      </c>
      <c r="F34" s="11" t="s">
        <v>69</v>
      </c>
      <c r="G34" s="11" t="s">
        <v>69</v>
      </c>
      <c r="H34" s="13" t="s">
        <v>6</v>
      </c>
      <c r="I34" s="17">
        <v>-71.267426</v>
      </c>
      <c r="J34" s="17">
        <v>-14.951765999999999</v>
      </c>
      <c r="K34" s="45">
        <v>25</v>
      </c>
      <c r="L34" s="45" t="s">
        <v>498</v>
      </c>
      <c r="N34" s="46">
        <v>590</v>
      </c>
      <c r="O34" s="45">
        <v>2025</v>
      </c>
      <c r="P34" s="45" t="s">
        <v>495</v>
      </c>
      <c r="Q34" s="40" t="s">
        <v>529</v>
      </c>
      <c r="R34" s="41">
        <v>44881</v>
      </c>
    </row>
    <row r="35" spans="1:18" s="14" customFormat="1" ht="18" customHeight="1" x14ac:dyDescent="0.2">
      <c r="A35" s="11">
        <v>24</v>
      </c>
      <c r="B35" s="12" t="s">
        <v>538</v>
      </c>
      <c r="C35" s="5" t="s">
        <v>107</v>
      </c>
      <c r="D35" s="49" t="s">
        <v>356</v>
      </c>
      <c r="E35" s="11" t="s">
        <v>72</v>
      </c>
      <c r="F35" s="11" t="s">
        <v>73</v>
      </c>
      <c r="G35" s="11" t="s">
        <v>74</v>
      </c>
      <c r="H35" s="13" t="s">
        <v>60</v>
      </c>
      <c r="I35" s="17">
        <v>-71.004155999999995</v>
      </c>
      <c r="J35" s="17">
        <v>-16.888245999999999</v>
      </c>
      <c r="K35" s="45">
        <v>22</v>
      </c>
      <c r="L35" s="45" t="s">
        <v>497</v>
      </c>
      <c r="N35" s="46">
        <v>655</v>
      </c>
      <c r="O35" s="45">
        <v>2025</v>
      </c>
      <c r="P35" s="45" t="s">
        <v>495</v>
      </c>
      <c r="Q35" s="40" t="s">
        <v>530</v>
      </c>
      <c r="R35" s="41">
        <v>44881</v>
      </c>
    </row>
    <row r="36" spans="1:18" s="14" customFormat="1" ht="18" customHeight="1" x14ac:dyDescent="0.2">
      <c r="A36" s="11">
        <v>26</v>
      </c>
      <c r="B36" s="12" t="s">
        <v>538</v>
      </c>
      <c r="C36" s="5" t="s">
        <v>77</v>
      </c>
      <c r="D36" s="42" t="s">
        <v>358</v>
      </c>
      <c r="E36" s="11" t="s">
        <v>51</v>
      </c>
      <c r="F36" s="11" t="s">
        <v>52</v>
      </c>
      <c r="G36" s="11" t="s">
        <v>79</v>
      </c>
      <c r="H36" s="13" t="s">
        <v>78</v>
      </c>
      <c r="I36" s="17">
        <v>-70.536387000000005</v>
      </c>
      <c r="J36" s="17">
        <v>-13.916093</v>
      </c>
      <c r="K36" s="45">
        <v>0</v>
      </c>
      <c r="L36" s="45"/>
      <c r="N36" s="46">
        <v>300</v>
      </c>
      <c r="O36" s="45">
        <v>2024</v>
      </c>
      <c r="P36" s="45" t="s">
        <v>495</v>
      </c>
      <c r="Q36" s="40" t="s">
        <v>531</v>
      </c>
      <c r="R36" s="41">
        <v>44881</v>
      </c>
    </row>
    <row r="37" spans="1:18" s="14" customFormat="1" ht="18" customHeight="1" x14ac:dyDescent="0.2">
      <c r="A37" s="11">
        <v>27</v>
      </c>
      <c r="B37" s="12" t="s">
        <v>538</v>
      </c>
      <c r="C37" s="5" t="s">
        <v>104</v>
      </c>
      <c r="D37" s="49" t="s">
        <v>359</v>
      </c>
      <c r="E37" s="11" t="s">
        <v>453</v>
      </c>
      <c r="F37" s="11" t="s">
        <v>80</v>
      </c>
      <c r="G37" s="11" t="s">
        <v>81</v>
      </c>
      <c r="H37" s="13" t="s">
        <v>6</v>
      </c>
      <c r="I37" s="17">
        <v>-77.766233</v>
      </c>
      <c r="J37" s="17">
        <v>-8.2165479999999995</v>
      </c>
      <c r="K37" s="45">
        <v>11</v>
      </c>
      <c r="L37" s="45" t="s">
        <v>498</v>
      </c>
      <c r="N37" s="46">
        <v>493</v>
      </c>
      <c r="O37" s="45">
        <v>2024</v>
      </c>
      <c r="P37" s="45" t="s">
        <v>495</v>
      </c>
      <c r="Q37" s="40" t="s">
        <v>502</v>
      </c>
      <c r="R37" s="41">
        <v>44881</v>
      </c>
    </row>
    <row r="38" spans="1:18" s="14" customFormat="1" ht="18" customHeight="1" x14ac:dyDescent="0.2">
      <c r="A38" s="11">
        <v>29</v>
      </c>
      <c r="B38" s="12" t="s">
        <v>538</v>
      </c>
      <c r="C38" s="5" t="s">
        <v>121</v>
      </c>
      <c r="D38" s="49" t="s">
        <v>361</v>
      </c>
      <c r="E38" s="11" t="s">
        <v>34</v>
      </c>
      <c r="F38" s="11" t="s">
        <v>134</v>
      </c>
      <c r="G38" s="11" t="s">
        <v>35</v>
      </c>
      <c r="H38" s="13" t="s">
        <v>82</v>
      </c>
      <c r="I38" s="17">
        <v>-76.645263999999997</v>
      </c>
      <c r="J38" s="17">
        <v>-10.593425</v>
      </c>
      <c r="K38" s="45">
        <v>0</v>
      </c>
      <c r="L38" s="45" t="s">
        <v>505</v>
      </c>
      <c r="N38" s="46">
        <v>81</v>
      </c>
      <c r="O38" s="45">
        <v>2025</v>
      </c>
      <c r="P38" s="45" t="s">
        <v>495</v>
      </c>
      <c r="Q38" s="40" t="s">
        <v>532</v>
      </c>
      <c r="R38" s="41">
        <v>44881</v>
      </c>
    </row>
    <row r="39" spans="1:18" s="14" customFormat="1" ht="32" x14ac:dyDescent="0.2">
      <c r="A39" s="11">
        <v>31</v>
      </c>
      <c r="B39" s="12" t="s">
        <v>538</v>
      </c>
      <c r="C39" s="5" t="s">
        <v>109</v>
      </c>
      <c r="D39" s="49" t="s">
        <v>363</v>
      </c>
      <c r="E39" s="11" t="s">
        <v>55</v>
      </c>
      <c r="F39" s="11" t="s">
        <v>135</v>
      </c>
      <c r="G39" s="11" t="s">
        <v>139</v>
      </c>
      <c r="H39" s="13" t="s">
        <v>63</v>
      </c>
      <c r="I39" s="17">
        <v>-74.837185000000005</v>
      </c>
      <c r="J39" s="17">
        <v>-15.359912</v>
      </c>
      <c r="K39" s="45">
        <v>29</v>
      </c>
      <c r="L39" s="45" t="s">
        <v>498</v>
      </c>
      <c r="N39" s="46">
        <v>2344</v>
      </c>
      <c r="O39" s="45">
        <v>2023</v>
      </c>
      <c r="P39" s="45" t="s">
        <v>494</v>
      </c>
      <c r="Q39" s="47" t="s">
        <v>545</v>
      </c>
      <c r="R39" s="41">
        <v>44881</v>
      </c>
    </row>
    <row r="40" spans="1:18" s="14" customFormat="1" ht="18" customHeight="1" x14ac:dyDescent="0.2">
      <c r="A40" s="11">
        <v>32</v>
      </c>
      <c r="B40" s="12" t="s">
        <v>538</v>
      </c>
      <c r="C40" s="5" t="s">
        <v>104</v>
      </c>
      <c r="D40" s="49" t="s">
        <v>364</v>
      </c>
      <c r="E40" s="11" t="s">
        <v>86</v>
      </c>
      <c r="F40" s="11" t="s">
        <v>86</v>
      </c>
      <c r="G40" s="11" t="s">
        <v>138</v>
      </c>
      <c r="H40" s="13" t="s">
        <v>85</v>
      </c>
      <c r="I40" s="17">
        <v>-75.031137000000001</v>
      </c>
      <c r="J40" s="17">
        <v>-12.751601000000001</v>
      </c>
      <c r="K40" s="45">
        <v>0</v>
      </c>
      <c r="L40" s="45"/>
      <c r="N40" s="46">
        <v>655</v>
      </c>
      <c r="O40" s="45">
        <v>2025</v>
      </c>
      <c r="P40" s="45" t="s">
        <v>495</v>
      </c>
      <c r="Q40" s="40" t="s">
        <v>533</v>
      </c>
      <c r="R40" s="41">
        <v>44881</v>
      </c>
    </row>
    <row r="41" spans="1:18" s="14" customFormat="1" ht="18" customHeight="1" x14ac:dyDescent="0.2">
      <c r="A41" s="11">
        <v>40</v>
      </c>
      <c r="B41" s="12" t="s">
        <v>538</v>
      </c>
      <c r="C41" s="5" t="s">
        <v>99</v>
      </c>
      <c r="D41" s="49" t="s">
        <v>372</v>
      </c>
      <c r="E41" s="11" t="s">
        <v>14</v>
      </c>
      <c r="F41" s="11" t="s">
        <v>27</v>
      </c>
      <c r="G41" s="11" t="s">
        <v>100</v>
      </c>
      <c r="H41" s="13" t="s">
        <v>26</v>
      </c>
      <c r="I41" s="17">
        <v>-72.873011000000005</v>
      </c>
      <c r="J41" s="17">
        <v>-14.495576</v>
      </c>
      <c r="K41" s="45">
        <v>18</v>
      </c>
      <c r="L41" s="45" t="s">
        <v>498</v>
      </c>
      <c r="N41" s="46">
        <v>973</v>
      </c>
      <c r="O41" s="45">
        <v>2027</v>
      </c>
      <c r="P41" s="45" t="s">
        <v>496</v>
      </c>
      <c r="Q41" s="40" t="s">
        <v>558</v>
      </c>
      <c r="R41" s="41">
        <v>44881</v>
      </c>
    </row>
    <row r="42" spans="1:18" s="14" customFormat="1" ht="18" customHeight="1" x14ac:dyDescent="0.2">
      <c r="A42" s="11">
        <v>41</v>
      </c>
      <c r="B42" s="12" t="s">
        <v>538</v>
      </c>
      <c r="C42" s="5" t="s">
        <v>45</v>
      </c>
      <c r="D42" s="49" t="s">
        <v>373</v>
      </c>
      <c r="E42" s="11" t="s">
        <v>47</v>
      </c>
      <c r="F42" s="11" t="s">
        <v>47</v>
      </c>
      <c r="G42" s="11" t="s">
        <v>123</v>
      </c>
      <c r="H42" s="13" t="s">
        <v>46</v>
      </c>
      <c r="I42" s="17">
        <v>-78.520454000000001</v>
      </c>
      <c r="J42" s="17">
        <v>-6.9861760000000004</v>
      </c>
      <c r="K42" s="45">
        <v>20</v>
      </c>
      <c r="L42" s="45" t="s">
        <v>499</v>
      </c>
      <c r="N42" s="46">
        <v>2500</v>
      </c>
      <c r="O42" s="45">
        <v>2024</v>
      </c>
      <c r="P42" s="45" t="s">
        <v>495</v>
      </c>
      <c r="Q42" s="40" t="s">
        <v>537</v>
      </c>
      <c r="R42" s="41">
        <v>44881</v>
      </c>
    </row>
    <row r="43" spans="1:18" s="14" customFormat="1" ht="18" customHeight="1" x14ac:dyDescent="0.2">
      <c r="A43" s="11">
        <v>42</v>
      </c>
      <c r="B43" s="12" t="s">
        <v>538</v>
      </c>
      <c r="C43" s="5" t="s">
        <v>115</v>
      </c>
      <c r="D43" s="49" t="s">
        <v>374</v>
      </c>
      <c r="E43" s="11" t="s">
        <v>55</v>
      </c>
      <c r="F43" s="11" t="s">
        <v>101</v>
      </c>
      <c r="G43" s="6" t="s">
        <v>136</v>
      </c>
      <c r="H43" s="13" t="s">
        <v>85</v>
      </c>
      <c r="I43" s="17">
        <v>-72.255324999999999</v>
      </c>
      <c r="J43" s="17">
        <v>-16.044281000000002</v>
      </c>
      <c r="K43" s="45">
        <v>19</v>
      </c>
      <c r="L43" s="45" t="s">
        <v>498</v>
      </c>
      <c r="N43" s="46">
        <v>1473</v>
      </c>
      <c r="O43" s="45">
        <v>2023</v>
      </c>
      <c r="P43" s="45" t="s">
        <v>494</v>
      </c>
      <c r="Q43" s="40" t="s">
        <v>546</v>
      </c>
      <c r="R43" s="41">
        <v>44881</v>
      </c>
    </row>
    <row r="44" spans="1:18" s="14" customFormat="1" ht="18" customHeight="1" x14ac:dyDescent="0.2">
      <c r="A44" s="11">
        <v>43</v>
      </c>
      <c r="B44" s="12" t="s">
        <v>538</v>
      </c>
      <c r="C44" s="5" t="s">
        <v>77</v>
      </c>
      <c r="D44" s="42" t="s">
        <v>375</v>
      </c>
      <c r="E44" s="11" t="s">
        <v>51</v>
      </c>
      <c r="F44" s="11" t="s">
        <v>52</v>
      </c>
      <c r="G44" s="11" t="s">
        <v>49</v>
      </c>
      <c r="H44" s="13" t="s">
        <v>102</v>
      </c>
      <c r="I44" s="17">
        <v>-70.665937999999997</v>
      </c>
      <c r="J44" s="17">
        <v>-13.9757</v>
      </c>
      <c r="K44" s="45">
        <v>0</v>
      </c>
      <c r="L44" s="45"/>
      <c r="N44" s="46">
        <v>587</v>
      </c>
      <c r="O44" s="45">
        <v>2025</v>
      </c>
      <c r="P44" s="45" t="s">
        <v>495</v>
      </c>
      <c r="Q44" s="40" t="s">
        <v>534</v>
      </c>
      <c r="R44" s="41">
        <v>44881</v>
      </c>
    </row>
    <row r="45" spans="1:18" s="14" customFormat="1" ht="18" customHeight="1" x14ac:dyDescent="0.2">
      <c r="A45" s="11">
        <v>44</v>
      </c>
      <c r="B45" s="12" t="s">
        <v>538</v>
      </c>
      <c r="C45" s="7" t="s">
        <v>549</v>
      </c>
      <c r="D45" s="49" t="s">
        <v>550</v>
      </c>
      <c r="E45" s="6" t="s">
        <v>453</v>
      </c>
      <c r="F45" s="6" t="s">
        <v>551</v>
      </c>
      <c r="G45" s="6" t="s">
        <v>552</v>
      </c>
      <c r="H45" s="8" t="s">
        <v>6</v>
      </c>
      <c r="I45" s="7"/>
      <c r="J45" s="51"/>
      <c r="K45" s="45">
        <v>8</v>
      </c>
      <c r="L45" s="45" t="s">
        <v>498</v>
      </c>
      <c r="N45" s="52">
        <v>1604</v>
      </c>
      <c r="O45" s="4">
        <v>2023</v>
      </c>
      <c r="P45" s="4" t="s">
        <v>494</v>
      </c>
      <c r="Q45" s="40" t="s">
        <v>554</v>
      </c>
      <c r="R45" s="41"/>
    </row>
    <row r="46" spans="1:18" s="14" customFormat="1" ht="18" customHeight="1" x14ac:dyDescent="0.2">
      <c r="A46" s="11">
        <v>45</v>
      </c>
      <c r="B46" s="12" t="s">
        <v>538</v>
      </c>
      <c r="C46" s="7" t="s">
        <v>108</v>
      </c>
      <c r="D46" s="53" t="s">
        <v>555</v>
      </c>
      <c r="E46" s="6" t="s">
        <v>72</v>
      </c>
      <c r="F46" s="6" t="s">
        <v>556</v>
      </c>
      <c r="G46" s="6" t="s">
        <v>557</v>
      </c>
      <c r="H46" s="8" t="s">
        <v>6</v>
      </c>
      <c r="I46" s="7"/>
      <c r="J46" s="51"/>
      <c r="K46" s="45">
        <v>24</v>
      </c>
      <c r="L46" s="45" t="s">
        <v>507</v>
      </c>
      <c r="N46" s="52">
        <v>1300</v>
      </c>
      <c r="O46" s="4">
        <v>2026</v>
      </c>
      <c r="P46" s="4" t="s">
        <v>496</v>
      </c>
      <c r="Q46" s="40"/>
      <c r="R46" s="41"/>
    </row>
    <row r="47" spans="1:18" s="14" customFormat="1" ht="18" customHeight="1" x14ac:dyDescent="0.2">
      <c r="A47" s="11">
        <v>46</v>
      </c>
      <c r="B47" s="12" t="s">
        <v>538</v>
      </c>
      <c r="C47" s="7" t="s">
        <v>559</v>
      </c>
      <c r="D47" s="49" t="s">
        <v>560</v>
      </c>
      <c r="E47" s="6" t="s">
        <v>90</v>
      </c>
      <c r="F47" s="6" t="s">
        <v>561</v>
      </c>
      <c r="G47" s="6" t="s">
        <v>561</v>
      </c>
      <c r="H47" s="8" t="s">
        <v>562</v>
      </c>
      <c r="I47" s="7"/>
      <c r="J47" s="51"/>
      <c r="K47" s="45">
        <v>22</v>
      </c>
      <c r="L47" s="45" t="s">
        <v>563</v>
      </c>
      <c r="N47" s="52">
        <v>450</v>
      </c>
      <c r="O47" s="4">
        <v>2027</v>
      </c>
      <c r="P47" s="4" t="s">
        <v>496</v>
      </c>
      <c r="Q47" s="40"/>
      <c r="R47" s="41"/>
    </row>
    <row r="48" spans="1:18" s="14" customFormat="1" ht="18" customHeight="1" x14ac:dyDescent="0.2">
      <c r="A48" s="11">
        <v>47</v>
      </c>
      <c r="B48" s="12" t="s">
        <v>538</v>
      </c>
      <c r="C48" s="7" t="s">
        <v>108</v>
      </c>
      <c r="D48" s="49" t="s">
        <v>564</v>
      </c>
      <c r="E48" s="6" t="s">
        <v>72</v>
      </c>
      <c r="F48" s="6" t="s">
        <v>73</v>
      </c>
      <c r="G48" s="6" t="s">
        <v>88</v>
      </c>
      <c r="H48" s="8" t="s">
        <v>6</v>
      </c>
      <c r="I48" s="7"/>
      <c r="J48" s="51"/>
      <c r="K48" s="45" t="s">
        <v>565</v>
      </c>
      <c r="L48" s="45" t="s">
        <v>563</v>
      </c>
      <c r="N48" s="52">
        <v>850</v>
      </c>
      <c r="O48" s="4">
        <v>2027</v>
      </c>
      <c r="P48" s="4" t="s">
        <v>496</v>
      </c>
      <c r="Q48" s="40"/>
      <c r="R48" s="41"/>
    </row>
    <row r="49" spans="1:18" s="14" customFormat="1" ht="18" customHeight="1" x14ac:dyDescent="0.2">
      <c r="A49" s="11">
        <v>48</v>
      </c>
      <c r="B49" s="12" t="s">
        <v>538</v>
      </c>
      <c r="C49" s="7" t="s">
        <v>568</v>
      </c>
      <c r="D49" s="49" t="s">
        <v>569</v>
      </c>
      <c r="E49" s="6" t="s">
        <v>22</v>
      </c>
      <c r="F49" s="6" t="s">
        <v>570</v>
      </c>
      <c r="G49" s="6" t="s">
        <v>571</v>
      </c>
      <c r="H49" s="8" t="s">
        <v>6</v>
      </c>
      <c r="I49" s="7"/>
      <c r="J49" s="51"/>
      <c r="K49" s="45">
        <v>21</v>
      </c>
      <c r="L49" s="45" t="s">
        <v>498</v>
      </c>
      <c r="N49" s="52">
        <v>1364</v>
      </c>
      <c r="O49" s="4">
        <v>2026</v>
      </c>
      <c r="P49" s="4" t="s">
        <v>496</v>
      </c>
      <c r="Q49" s="40"/>
      <c r="R49" s="41"/>
    </row>
    <row r="50" spans="1:18" s="14" customFormat="1" ht="18" customHeight="1" x14ac:dyDescent="0.2">
      <c r="A50" s="11">
        <v>49</v>
      </c>
      <c r="B50" s="12" t="s">
        <v>538</v>
      </c>
      <c r="C50" s="7" t="s">
        <v>574</v>
      </c>
      <c r="D50" s="49" t="s">
        <v>575</v>
      </c>
      <c r="E50" s="6" t="s">
        <v>535</v>
      </c>
      <c r="F50" s="6" t="s">
        <v>576</v>
      </c>
      <c r="G50" s="6" t="s">
        <v>577</v>
      </c>
      <c r="H50" s="8" t="s">
        <v>150</v>
      </c>
      <c r="I50" s="7"/>
      <c r="J50" s="51"/>
      <c r="K50" s="45">
        <v>14</v>
      </c>
      <c r="L50" s="45" t="s">
        <v>505</v>
      </c>
      <c r="N50" s="52">
        <v>76</v>
      </c>
      <c r="O50" s="4">
        <v>2024</v>
      </c>
      <c r="P50" s="4" t="s">
        <v>495</v>
      </c>
      <c r="Q50" s="40"/>
      <c r="R50" s="41"/>
    </row>
    <row r="51" spans="1:18" s="14" customFormat="1" ht="18" customHeight="1" x14ac:dyDescent="0.2">
      <c r="A51" s="11">
        <v>50</v>
      </c>
      <c r="B51" s="12" t="s">
        <v>538</v>
      </c>
      <c r="C51" s="7" t="s">
        <v>578</v>
      </c>
      <c r="D51" s="49" t="s">
        <v>579</v>
      </c>
      <c r="E51" s="6" t="s">
        <v>47</v>
      </c>
      <c r="F51" s="6" t="s">
        <v>581</v>
      </c>
      <c r="G51" s="6" t="s">
        <v>582</v>
      </c>
      <c r="H51" s="8" t="s">
        <v>21</v>
      </c>
      <c r="I51" s="7"/>
      <c r="J51" s="51"/>
      <c r="K51" s="45">
        <v>8</v>
      </c>
      <c r="L51" s="45" t="s">
        <v>580</v>
      </c>
      <c r="N51" s="52">
        <v>194</v>
      </c>
      <c r="O51" s="4">
        <v>2024</v>
      </c>
      <c r="P51" s="4" t="s">
        <v>495</v>
      </c>
      <c r="Q51" s="40"/>
      <c r="R51" s="41"/>
    </row>
    <row r="52" spans="1:18" s="14" customFormat="1" ht="18" customHeight="1" x14ac:dyDescent="0.2">
      <c r="A52" s="11">
        <v>51</v>
      </c>
      <c r="B52" s="7" t="s">
        <v>539</v>
      </c>
      <c r="C52" s="7" t="s">
        <v>283</v>
      </c>
      <c r="D52" s="10" t="s">
        <v>262</v>
      </c>
      <c r="E52" s="11" t="s">
        <v>43</v>
      </c>
      <c r="F52" s="6" t="s">
        <v>132</v>
      </c>
      <c r="G52" s="6" t="s">
        <v>152</v>
      </c>
      <c r="H52" s="8" t="s">
        <v>150</v>
      </c>
      <c r="I52" s="9">
        <v>-77.969106092700002</v>
      </c>
      <c r="J52" s="9">
        <v>-5.7065853212300004</v>
      </c>
      <c r="K52" s="45">
        <v>0</v>
      </c>
      <c r="L52" s="45" t="s">
        <v>503</v>
      </c>
      <c r="N52" s="45">
        <v>3.1</v>
      </c>
      <c r="O52" s="45">
        <v>2026</v>
      </c>
      <c r="P52" s="45" t="s">
        <v>496</v>
      </c>
      <c r="Q52" s="14" t="s">
        <v>547</v>
      </c>
      <c r="R52" s="41">
        <v>44932</v>
      </c>
    </row>
    <row r="53" spans="1:18" s="14" customFormat="1" ht="18" customHeight="1" x14ac:dyDescent="0.2">
      <c r="A53" s="11">
        <v>52</v>
      </c>
      <c r="B53" s="7" t="s">
        <v>539</v>
      </c>
      <c r="C53" s="7" t="s">
        <v>309</v>
      </c>
      <c r="D53" s="10" t="s">
        <v>263</v>
      </c>
      <c r="E53" s="11" t="s">
        <v>455</v>
      </c>
      <c r="F53" s="6" t="s">
        <v>24</v>
      </c>
      <c r="G53" s="6" t="s">
        <v>277</v>
      </c>
      <c r="H53" s="8" t="s">
        <v>150</v>
      </c>
      <c r="I53" s="9">
        <v>-76.306164975499996</v>
      </c>
      <c r="J53" s="9">
        <v>-11.1753121973</v>
      </c>
      <c r="K53" s="45">
        <v>0</v>
      </c>
      <c r="L53" s="45" t="s">
        <v>504</v>
      </c>
      <c r="N53" s="45">
        <v>11.1</v>
      </c>
      <c r="O53" s="45">
        <v>2026</v>
      </c>
      <c r="P53" s="45" t="s">
        <v>496</v>
      </c>
      <c r="Q53" s="14" t="s">
        <v>509</v>
      </c>
      <c r="R53" s="41">
        <v>44881</v>
      </c>
    </row>
    <row r="54" spans="1:18" s="14" customFormat="1" ht="18" customHeight="1" x14ac:dyDescent="0.2">
      <c r="A54" s="11">
        <v>53</v>
      </c>
      <c r="B54" s="7" t="s">
        <v>539</v>
      </c>
      <c r="C54" s="7" t="s">
        <v>290</v>
      </c>
      <c r="D54" s="10" t="s">
        <v>179</v>
      </c>
      <c r="E54" s="11" t="s">
        <v>34</v>
      </c>
      <c r="F54" s="6" t="s">
        <v>34</v>
      </c>
      <c r="G54" s="6" t="s">
        <v>278</v>
      </c>
      <c r="H54" s="8" t="s">
        <v>150</v>
      </c>
      <c r="I54" s="9">
        <v>-76.224842782899998</v>
      </c>
      <c r="J54" s="9">
        <v>-10.630478764799999</v>
      </c>
      <c r="K54" s="45">
        <v>0</v>
      </c>
      <c r="L54" s="45" t="s">
        <v>505</v>
      </c>
      <c r="N54" s="45">
        <v>2.2000000000000002</v>
      </c>
      <c r="O54" s="45">
        <v>2026</v>
      </c>
      <c r="P54" s="45" t="s">
        <v>496</v>
      </c>
      <c r="Q54" s="14" t="s">
        <v>508</v>
      </c>
      <c r="R54" s="41">
        <v>44881</v>
      </c>
    </row>
    <row r="55" spans="1:18" s="14" customFormat="1" ht="18" customHeight="1" x14ac:dyDescent="0.2">
      <c r="A55" s="11">
        <v>54</v>
      </c>
      <c r="B55" s="7" t="s">
        <v>539</v>
      </c>
      <c r="C55" s="7" t="s">
        <v>309</v>
      </c>
      <c r="D55" s="50" t="s">
        <v>231</v>
      </c>
      <c r="E55" s="6" t="s">
        <v>7</v>
      </c>
      <c r="F55" s="6" t="s">
        <v>232</v>
      </c>
      <c r="G55" s="6" t="s">
        <v>281</v>
      </c>
      <c r="H55" s="8" t="s">
        <v>150</v>
      </c>
      <c r="I55" s="9">
        <v>-76.517232662500007</v>
      </c>
      <c r="J55" s="9">
        <v>-11.155285612</v>
      </c>
      <c r="K55" s="45">
        <v>0</v>
      </c>
      <c r="L55" s="45" t="s">
        <v>504</v>
      </c>
      <c r="N55" s="45">
        <v>150</v>
      </c>
      <c r="O55" s="45">
        <v>2026</v>
      </c>
      <c r="P55" s="45" t="s">
        <v>496</v>
      </c>
      <c r="Q55" s="14" t="s">
        <v>509</v>
      </c>
      <c r="R55" s="41">
        <v>44881</v>
      </c>
    </row>
    <row r="56" spans="1:18" s="14" customFormat="1" ht="18" customHeight="1" x14ac:dyDescent="0.2">
      <c r="A56" s="11">
        <v>55</v>
      </c>
      <c r="B56" s="7" t="s">
        <v>539</v>
      </c>
      <c r="C56" s="7" t="s">
        <v>282</v>
      </c>
      <c r="D56" s="10" t="s">
        <v>141</v>
      </c>
      <c r="E56" s="11" t="s">
        <v>455</v>
      </c>
      <c r="F56" s="6" t="s">
        <v>24</v>
      </c>
      <c r="G56" s="6" t="s">
        <v>31</v>
      </c>
      <c r="H56" s="8" t="s">
        <v>142</v>
      </c>
      <c r="I56" s="9">
        <v>-76.408659597699994</v>
      </c>
      <c r="J56" s="9">
        <v>-11.354425839099999</v>
      </c>
      <c r="K56" s="45">
        <v>0</v>
      </c>
      <c r="L56" s="45" t="s">
        <v>506</v>
      </c>
      <c r="N56" s="45">
        <v>3.6</v>
      </c>
      <c r="O56" s="45">
        <v>2026</v>
      </c>
      <c r="P56" s="45" t="s">
        <v>496</v>
      </c>
      <c r="Q56" s="14" t="s">
        <v>509</v>
      </c>
      <c r="R56" s="41">
        <v>44881</v>
      </c>
    </row>
    <row r="57" spans="1:18" s="14" customFormat="1" ht="18" customHeight="1" x14ac:dyDescent="0.2">
      <c r="A57" s="11">
        <v>56</v>
      </c>
      <c r="B57" s="7" t="s">
        <v>539</v>
      </c>
      <c r="C57" s="7" t="s">
        <v>306</v>
      </c>
      <c r="D57" s="10" t="s">
        <v>143</v>
      </c>
      <c r="E57" s="6" t="s">
        <v>55</v>
      </c>
      <c r="F57" s="6" t="s">
        <v>135</v>
      </c>
      <c r="G57" s="6" t="s">
        <v>276</v>
      </c>
      <c r="H57" s="8" t="s">
        <v>6</v>
      </c>
      <c r="I57" s="9">
        <v>-74.498639556399993</v>
      </c>
      <c r="J57" s="9">
        <v>-15.2792524592</v>
      </c>
      <c r="K57" s="45">
        <v>0</v>
      </c>
      <c r="L57" s="45" t="s">
        <v>506</v>
      </c>
      <c r="N57" s="45">
        <v>10</v>
      </c>
      <c r="O57" s="45">
        <v>2026</v>
      </c>
      <c r="P57" s="45" t="s">
        <v>496</v>
      </c>
      <c r="Q57" s="14" t="s">
        <v>509</v>
      </c>
      <c r="R57" s="41">
        <v>44881</v>
      </c>
    </row>
    <row r="58" spans="1:18" s="14" customFormat="1" ht="18" customHeight="1" x14ac:dyDescent="0.2">
      <c r="A58" s="11">
        <v>57</v>
      </c>
      <c r="B58" s="7" t="s">
        <v>539</v>
      </c>
      <c r="C58" s="7" t="s">
        <v>305</v>
      </c>
      <c r="D58" s="10" t="s">
        <v>144</v>
      </c>
      <c r="E58" s="6" t="s">
        <v>86</v>
      </c>
      <c r="F58" s="6" t="s">
        <v>271</v>
      </c>
      <c r="G58" s="6" t="s">
        <v>145</v>
      </c>
      <c r="H58" s="8" t="s">
        <v>6</v>
      </c>
      <c r="I58" s="9">
        <v>-74.759915358599997</v>
      </c>
      <c r="J58" s="9">
        <v>-13.333235327600001</v>
      </c>
      <c r="K58" s="45">
        <v>0</v>
      </c>
      <c r="L58" s="45" t="s">
        <v>506</v>
      </c>
      <c r="N58" s="45">
        <v>4.4000000000000004</v>
      </c>
      <c r="O58" s="45">
        <v>2026</v>
      </c>
      <c r="P58" s="45" t="s">
        <v>496</v>
      </c>
      <c r="Q58" s="14" t="s">
        <v>509</v>
      </c>
      <c r="R58" s="41">
        <v>44881</v>
      </c>
    </row>
    <row r="59" spans="1:18" s="14" customFormat="1" ht="18" customHeight="1" x14ac:dyDescent="0.2">
      <c r="A59" s="11">
        <v>58</v>
      </c>
      <c r="B59" s="7" t="s">
        <v>539</v>
      </c>
      <c r="C59" s="7" t="s">
        <v>307</v>
      </c>
      <c r="D59" s="10" t="s">
        <v>146</v>
      </c>
      <c r="E59" s="6" t="s">
        <v>55</v>
      </c>
      <c r="F59" s="6" t="s">
        <v>147</v>
      </c>
      <c r="G59" s="6" t="s">
        <v>148</v>
      </c>
      <c r="H59" s="8" t="s">
        <v>142</v>
      </c>
      <c r="I59" s="9">
        <v>-72.325963215599998</v>
      </c>
      <c r="J59" s="9">
        <v>-14.979778337100001</v>
      </c>
      <c r="K59" s="45">
        <v>0</v>
      </c>
      <c r="L59" s="45" t="s">
        <v>507</v>
      </c>
      <c r="N59" s="45">
        <v>5.3</v>
      </c>
      <c r="O59" s="45">
        <v>2026</v>
      </c>
      <c r="P59" s="45" t="s">
        <v>496</v>
      </c>
      <c r="Q59" s="14" t="s">
        <v>509</v>
      </c>
      <c r="R59" s="41">
        <v>44881</v>
      </c>
    </row>
    <row r="60" spans="1:18" s="14" customFormat="1" ht="18" customHeight="1" x14ac:dyDescent="0.2">
      <c r="A60" s="11">
        <v>59</v>
      </c>
      <c r="B60" s="7" t="s">
        <v>539</v>
      </c>
      <c r="C60" s="7" t="s">
        <v>308</v>
      </c>
      <c r="D60" s="10" t="s">
        <v>149</v>
      </c>
      <c r="E60" s="6" t="s">
        <v>453</v>
      </c>
      <c r="F60" s="6" t="s">
        <v>19</v>
      </c>
      <c r="G60" s="6" t="s">
        <v>151</v>
      </c>
      <c r="H60" s="8" t="s">
        <v>150</v>
      </c>
      <c r="I60" s="9">
        <v>-77.029421875200001</v>
      </c>
      <c r="J60" s="9">
        <v>-9.9418521492600007</v>
      </c>
      <c r="K60" s="45">
        <v>0</v>
      </c>
      <c r="L60" s="45" t="s">
        <v>506</v>
      </c>
      <c r="N60" s="45">
        <v>6.9</v>
      </c>
      <c r="O60" s="45">
        <v>2026</v>
      </c>
      <c r="P60" s="45" t="s">
        <v>496</v>
      </c>
      <c r="Q60" s="14" t="s">
        <v>509</v>
      </c>
      <c r="R60" s="41">
        <v>44881</v>
      </c>
    </row>
    <row r="61" spans="1:18" s="14" customFormat="1" ht="18" customHeight="1" x14ac:dyDescent="0.2">
      <c r="A61" s="11">
        <v>60</v>
      </c>
      <c r="B61" s="7" t="s">
        <v>539</v>
      </c>
      <c r="C61" s="7" t="s">
        <v>284</v>
      </c>
      <c r="D61" s="10" t="s">
        <v>153</v>
      </c>
      <c r="E61" s="6" t="s">
        <v>55</v>
      </c>
      <c r="F61" s="6" t="s">
        <v>154</v>
      </c>
      <c r="G61" s="6" t="s">
        <v>154</v>
      </c>
      <c r="H61" s="8" t="s">
        <v>142</v>
      </c>
      <c r="I61" s="9">
        <v>-71.851765554799996</v>
      </c>
      <c r="J61" s="9">
        <v>-15.175185687999999</v>
      </c>
      <c r="K61" s="45">
        <v>0</v>
      </c>
      <c r="L61" s="45" t="s">
        <v>507</v>
      </c>
      <c r="N61" s="45">
        <v>21.2</v>
      </c>
      <c r="O61" s="45">
        <v>2026</v>
      </c>
      <c r="P61" s="45" t="s">
        <v>496</v>
      </c>
      <c r="Q61" s="14" t="s">
        <v>508</v>
      </c>
      <c r="R61" s="41">
        <v>44881</v>
      </c>
    </row>
    <row r="62" spans="1:18" s="14" customFormat="1" ht="18" customHeight="1" x14ac:dyDescent="0.2">
      <c r="A62" s="11">
        <v>61</v>
      </c>
      <c r="B62" s="7" t="s">
        <v>539</v>
      </c>
      <c r="C62" s="7" t="s">
        <v>45</v>
      </c>
      <c r="D62" s="10" t="s">
        <v>155</v>
      </c>
      <c r="E62" s="6" t="s">
        <v>47</v>
      </c>
      <c r="F62" s="6" t="s">
        <v>47</v>
      </c>
      <c r="G62" s="6" t="s">
        <v>47</v>
      </c>
      <c r="H62" s="8" t="s">
        <v>21</v>
      </c>
      <c r="I62" s="9">
        <v>-78.6037866275</v>
      </c>
      <c r="J62" s="9">
        <v>-7.0241065561099996</v>
      </c>
      <c r="K62" s="45">
        <v>0</v>
      </c>
      <c r="L62" s="45" t="s">
        <v>506</v>
      </c>
      <c r="N62" s="45">
        <v>5</v>
      </c>
      <c r="O62" s="45">
        <v>2026</v>
      </c>
      <c r="P62" s="45" t="s">
        <v>496</v>
      </c>
      <c r="Q62" s="14" t="s">
        <v>508</v>
      </c>
      <c r="R62" s="41">
        <v>44881</v>
      </c>
    </row>
    <row r="63" spans="1:18" s="14" customFormat="1" ht="18" customHeight="1" x14ac:dyDescent="0.2">
      <c r="A63" s="11">
        <v>62</v>
      </c>
      <c r="B63" s="7" t="s">
        <v>539</v>
      </c>
      <c r="C63" s="7" t="s">
        <v>285</v>
      </c>
      <c r="D63" s="10" t="s">
        <v>156</v>
      </c>
      <c r="E63" s="6" t="s">
        <v>55</v>
      </c>
      <c r="F63" s="6" t="s">
        <v>135</v>
      </c>
      <c r="G63" s="6" t="s">
        <v>157</v>
      </c>
      <c r="H63" s="8" t="s">
        <v>6</v>
      </c>
      <c r="I63" s="9">
        <v>-74.296450315499996</v>
      </c>
      <c r="J63" s="9">
        <v>-15.683133379499999</v>
      </c>
      <c r="K63" s="45">
        <v>0</v>
      </c>
      <c r="L63" s="45" t="s">
        <v>506</v>
      </c>
      <c r="N63" s="45">
        <v>41.3</v>
      </c>
      <c r="O63" s="45">
        <v>2026</v>
      </c>
      <c r="P63" s="45" t="s">
        <v>496</v>
      </c>
      <c r="Q63" s="14" t="s">
        <v>509</v>
      </c>
      <c r="R63" s="41">
        <v>44881</v>
      </c>
    </row>
    <row r="64" spans="1:18" s="14" customFormat="1" ht="18" customHeight="1" x14ac:dyDescent="0.2">
      <c r="A64" s="11">
        <v>63</v>
      </c>
      <c r="B64" s="7" t="s">
        <v>539</v>
      </c>
      <c r="C64" s="7" t="s">
        <v>286</v>
      </c>
      <c r="D64" s="10" t="s">
        <v>158</v>
      </c>
      <c r="E64" s="6" t="s">
        <v>51</v>
      </c>
      <c r="F64" s="6" t="s">
        <v>159</v>
      </c>
      <c r="G64" s="6" t="s">
        <v>160</v>
      </c>
      <c r="H64" s="8" t="s">
        <v>21</v>
      </c>
      <c r="I64" s="9">
        <v>-69.419051412900004</v>
      </c>
      <c r="J64" s="9">
        <v>-14.587218869399999</v>
      </c>
      <c r="K64" s="45">
        <v>0</v>
      </c>
      <c r="L64" s="45" t="s">
        <v>507</v>
      </c>
      <c r="N64" s="45">
        <v>2.2000000000000002</v>
      </c>
      <c r="O64" s="45">
        <v>2026</v>
      </c>
      <c r="P64" s="45" t="s">
        <v>496</v>
      </c>
      <c r="Q64" s="14" t="s">
        <v>509</v>
      </c>
      <c r="R64" s="41">
        <v>44881</v>
      </c>
    </row>
    <row r="65" spans="1:18" s="14" customFormat="1" ht="18" customHeight="1" x14ac:dyDescent="0.2">
      <c r="A65" s="11">
        <v>64</v>
      </c>
      <c r="B65" s="7" t="s">
        <v>539</v>
      </c>
      <c r="C65" s="7" t="s">
        <v>307</v>
      </c>
      <c r="D65" s="10" t="s">
        <v>161</v>
      </c>
      <c r="E65" s="6" t="s">
        <v>66</v>
      </c>
      <c r="F65" s="6" t="s">
        <v>162</v>
      </c>
      <c r="G65" s="6" t="s">
        <v>273</v>
      </c>
      <c r="H65" s="8" t="s">
        <v>21</v>
      </c>
      <c r="I65" s="9">
        <v>-73.246111479099994</v>
      </c>
      <c r="J65" s="9">
        <v>-14.7630226975</v>
      </c>
      <c r="K65" s="45">
        <v>0</v>
      </c>
      <c r="L65" s="45" t="s">
        <v>506</v>
      </c>
      <c r="N65" s="45">
        <v>2.2999999999999998</v>
      </c>
      <c r="O65" s="45">
        <v>2026</v>
      </c>
      <c r="P65" s="45" t="s">
        <v>496</v>
      </c>
      <c r="Q65" s="14" t="s">
        <v>509</v>
      </c>
      <c r="R65" s="41">
        <v>44881</v>
      </c>
    </row>
    <row r="66" spans="1:18" s="14" customFormat="1" ht="18" customHeight="1" x14ac:dyDescent="0.2">
      <c r="A66" s="11">
        <v>65</v>
      </c>
      <c r="B66" s="7" t="s">
        <v>539</v>
      </c>
      <c r="C66" s="7" t="s">
        <v>45</v>
      </c>
      <c r="D66" s="10" t="s">
        <v>163</v>
      </c>
      <c r="E66" s="6" t="s">
        <v>47</v>
      </c>
      <c r="F66" s="6" t="s">
        <v>47</v>
      </c>
      <c r="G66" s="6" t="s">
        <v>47</v>
      </c>
      <c r="H66" s="8" t="s">
        <v>21</v>
      </c>
      <c r="I66" s="9">
        <v>-78.492729592700002</v>
      </c>
      <c r="J66" s="9">
        <v>-6.9540723594999996</v>
      </c>
      <c r="K66" s="45">
        <v>0</v>
      </c>
      <c r="L66" s="45" t="s">
        <v>507</v>
      </c>
      <c r="N66" s="45">
        <v>5</v>
      </c>
      <c r="O66" s="45">
        <v>2026</v>
      </c>
      <c r="P66" s="45" t="s">
        <v>496</v>
      </c>
      <c r="Q66" s="14" t="s">
        <v>508</v>
      </c>
      <c r="R66" s="41">
        <v>44881</v>
      </c>
    </row>
    <row r="67" spans="1:18" s="14" customFormat="1" ht="18" customHeight="1" x14ac:dyDescent="0.2">
      <c r="A67" s="11">
        <v>66</v>
      </c>
      <c r="B67" s="7" t="s">
        <v>539</v>
      </c>
      <c r="C67" s="7" t="s">
        <v>287</v>
      </c>
      <c r="D67" s="10" t="s">
        <v>164</v>
      </c>
      <c r="E67" s="6" t="s">
        <v>453</v>
      </c>
      <c r="F67" s="6" t="s">
        <v>165</v>
      </c>
      <c r="G67" s="6" t="s">
        <v>165</v>
      </c>
      <c r="H67" s="8" t="s">
        <v>21</v>
      </c>
      <c r="I67" s="9">
        <v>-77.870304368999996</v>
      </c>
      <c r="J67" s="9">
        <v>-10.0631090494</v>
      </c>
      <c r="K67" s="45">
        <v>0</v>
      </c>
      <c r="L67" s="45" t="s">
        <v>506</v>
      </c>
      <c r="N67" s="45">
        <v>12.5</v>
      </c>
      <c r="O67" s="45">
        <v>2026</v>
      </c>
      <c r="P67" s="45" t="s">
        <v>496</v>
      </c>
      <c r="Q67" s="14" t="s">
        <v>509</v>
      </c>
      <c r="R67" s="41">
        <v>44881</v>
      </c>
    </row>
    <row r="68" spans="1:18" s="14" customFormat="1" ht="18" customHeight="1" x14ac:dyDescent="0.2">
      <c r="A68" s="11">
        <v>67</v>
      </c>
      <c r="B68" s="7" t="s">
        <v>539</v>
      </c>
      <c r="C68" s="7" t="s">
        <v>307</v>
      </c>
      <c r="D68" s="10" t="s">
        <v>264</v>
      </c>
      <c r="E68" s="6" t="s">
        <v>166</v>
      </c>
      <c r="F68" s="6" t="s">
        <v>167</v>
      </c>
      <c r="G68" s="6" t="s">
        <v>168</v>
      </c>
      <c r="H68" s="8" t="s">
        <v>6</v>
      </c>
      <c r="I68" s="9">
        <v>-71.052968147599998</v>
      </c>
      <c r="J68" s="9">
        <v>-17.792143062000001</v>
      </c>
      <c r="K68" s="45">
        <v>0</v>
      </c>
      <c r="L68" s="45" t="s">
        <v>506</v>
      </c>
      <c r="N68" s="45">
        <v>2.2999999999999998</v>
      </c>
      <c r="O68" s="45">
        <v>2027</v>
      </c>
      <c r="P68" s="45" t="s">
        <v>496</v>
      </c>
      <c r="Q68" s="14" t="s">
        <v>510</v>
      </c>
      <c r="R68" s="41">
        <v>44881</v>
      </c>
    </row>
    <row r="69" spans="1:18" s="14" customFormat="1" ht="18" customHeight="1" x14ac:dyDescent="0.2">
      <c r="A69" s="11">
        <v>68</v>
      </c>
      <c r="B69" s="7" t="s">
        <v>539</v>
      </c>
      <c r="C69" s="7" t="s">
        <v>307</v>
      </c>
      <c r="D69" s="10" t="s">
        <v>169</v>
      </c>
      <c r="E69" s="6" t="s">
        <v>38</v>
      </c>
      <c r="F69" s="6" t="s">
        <v>170</v>
      </c>
      <c r="G69" s="6" t="s">
        <v>171</v>
      </c>
      <c r="H69" s="8" t="s">
        <v>21</v>
      </c>
      <c r="I69" s="9">
        <v>-72.391382465000007</v>
      </c>
      <c r="J69" s="9">
        <v>-14.7492791312</v>
      </c>
      <c r="K69" s="45">
        <v>0</v>
      </c>
      <c r="L69" s="45" t="s">
        <v>506</v>
      </c>
      <c r="N69" s="45">
        <v>3.2</v>
      </c>
      <c r="O69" s="45">
        <v>2027</v>
      </c>
      <c r="P69" s="45" t="s">
        <v>496</v>
      </c>
      <c r="Q69" s="14" t="s">
        <v>547</v>
      </c>
      <c r="R69" s="41">
        <v>44932</v>
      </c>
    </row>
    <row r="70" spans="1:18" s="14" customFormat="1" ht="18" customHeight="1" x14ac:dyDescent="0.2">
      <c r="A70" s="11">
        <v>69</v>
      </c>
      <c r="B70" s="7" t="s">
        <v>539</v>
      </c>
      <c r="C70" s="7" t="s">
        <v>288</v>
      </c>
      <c r="D70" s="10" t="s">
        <v>172</v>
      </c>
      <c r="E70" s="6" t="s">
        <v>166</v>
      </c>
      <c r="F70" s="6" t="s">
        <v>166</v>
      </c>
      <c r="G70" s="6" t="s">
        <v>173</v>
      </c>
      <c r="H70" s="8" t="s">
        <v>142</v>
      </c>
      <c r="I70" s="9">
        <v>-70.345993192199998</v>
      </c>
      <c r="J70" s="9">
        <v>-17.5668676626</v>
      </c>
      <c r="K70" s="45">
        <v>0</v>
      </c>
      <c r="L70" s="45" t="s">
        <v>506</v>
      </c>
      <c r="N70" s="45">
        <v>4.7</v>
      </c>
      <c r="O70" s="45">
        <v>2027</v>
      </c>
      <c r="P70" s="45" t="s">
        <v>496</v>
      </c>
      <c r="Q70" s="14" t="s">
        <v>547</v>
      </c>
      <c r="R70" s="41">
        <v>44932</v>
      </c>
    </row>
    <row r="71" spans="1:18" s="14" customFormat="1" ht="18" customHeight="1" x14ac:dyDescent="0.2">
      <c r="A71" s="11">
        <v>70</v>
      </c>
      <c r="B71" s="7" t="s">
        <v>539</v>
      </c>
      <c r="C71" s="7" t="s">
        <v>289</v>
      </c>
      <c r="D71" s="10" t="s">
        <v>174</v>
      </c>
      <c r="E71" s="6" t="s">
        <v>86</v>
      </c>
      <c r="F71" s="6" t="s">
        <v>175</v>
      </c>
      <c r="G71" s="6" t="s">
        <v>175</v>
      </c>
      <c r="H71" s="8" t="s">
        <v>142</v>
      </c>
      <c r="I71" s="9">
        <v>-75.359535448100004</v>
      </c>
      <c r="J71" s="9">
        <v>-13.023969620400001</v>
      </c>
      <c r="K71" s="45">
        <v>0</v>
      </c>
      <c r="L71" s="45" t="s">
        <v>506</v>
      </c>
      <c r="N71" s="45">
        <v>5.2</v>
      </c>
      <c r="O71" s="45">
        <v>2027</v>
      </c>
      <c r="P71" s="45" t="s">
        <v>496</v>
      </c>
      <c r="Q71" s="14" t="s">
        <v>510</v>
      </c>
      <c r="R71" s="41">
        <v>44881</v>
      </c>
    </row>
    <row r="72" spans="1:18" s="14" customFormat="1" ht="18" customHeight="1" x14ac:dyDescent="0.2">
      <c r="A72" s="11">
        <v>71</v>
      </c>
      <c r="B72" s="7" t="s">
        <v>539</v>
      </c>
      <c r="C72" s="7" t="s">
        <v>308</v>
      </c>
      <c r="D72" s="10" t="s">
        <v>176</v>
      </c>
      <c r="E72" s="6" t="s">
        <v>10</v>
      </c>
      <c r="F72" s="6" t="s">
        <v>177</v>
      </c>
      <c r="G72" s="6" t="s">
        <v>178</v>
      </c>
      <c r="H72" s="8" t="s">
        <v>150</v>
      </c>
      <c r="I72" s="9">
        <v>-75.786317582600006</v>
      </c>
      <c r="J72" s="9">
        <v>-13.5248622309</v>
      </c>
      <c r="K72" s="45">
        <v>0</v>
      </c>
      <c r="L72" s="45" t="s">
        <v>506</v>
      </c>
      <c r="N72" s="45">
        <v>1.6</v>
      </c>
      <c r="O72" s="45">
        <v>2026</v>
      </c>
      <c r="P72" s="45" t="s">
        <v>496</v>
      </c>
      <c r="Q72" s="14" t="s">
        <v>547</v>
      </c>
      <c r="R72" s="41">
        <v>44932</v>
      </c>
    </row>
    <row r="73" spans="1:18" s="14" customFormat="1" ht="18" customHeight="1" x14ac:dyDescent="0.2">
      <c r="A73" s="11">
        <v>72</v>
      </c>
      <c r="B73" s="7" t="s">
        <v>539</v>
      </c>
      <c r="C73" s="7" t="s">
        <v>305</v>
      </c>
      <c r="D73" s="10" t="s">
        <v>180</v>
      </c>
      <c r="E73" s="11" t="s">
        <v>22</v>
      </c>
      <c r="F73" s="6" t="s">
        <v>181</v>
      </c>
      <c r="G73" s="6" t="s">
        <v>181</v>
      </c>
      <c r="H73" s="8" t="s">
        <v>6</v>
      </c>
      <c r="I73" s="9">
        <v>-78.613840169599996</v>
      </c>
      <c r="J73" s="9">
        <v>-7.8544753457300001</v>
      </c>
      <c r="K73" s="45">
        <v>0</v>
      </c>
      <c r="L73" s="45" t="s">
        <v>506</v>
      </c>
      <c r="N73" s="45">
        <v>4.5999999999999996</v>
      </c>
      <c r="O73" s="45">
        <v>2026</v>
      </c>
      <c r="P73" s="45" t="s">
        <v>496</v>
      </c>
      <c r="Q73" s="14" t="s">
        <v>509</v>
      </c>
      <c r="R73" s="41">
        <v>44881</v>
      </c>
    </row>
    <row r="74" spans="1:18" s="14" customFormat="1" ht="18" customHeight="1" x14ac:dyDescent="0.2">
      <c r="A74" s="11">
        <v>73</v>
      </c>
      <c r="B74" s="7" t="s">
        <v>539</v>
      </c>
      <c r="C74" s="7" t="s">
        <v>310</v>
      </c>
      <c r="D74" s="10" t="s">
        <v>265</v>
      </c>
      <c r="E74" s="6" t="s">
        <v>51</v>
      </c>
      <c r="F74" s="6" t="s">
        <v>52</v>
      </c>
      <c r="G74" s="6" t="s">
        <v>182</v>
      </c>
      <c r="H74" s="8" t="s">
        <v>21</v>
      </c>
      <c r="I74" s="9">
        <v>-70.360904658300001</v>
      </c>
      <c r="J74" s="9">
        <v>-13.4800275599</v>
      </c>
      <c r="K74" s="45">
        <v>0</v>
      </c>
      <c r="L74" s="45" t="s">
        <v>506</v>
      </c>
      <c r="N74" s="45">
        <v>1.6</v>
      </c>
      <c r="O74" s="45">
        <v>2026</v>
      </c>
      <c r="P74" s="45" t="s">
        <v>496</v>
      </c>
      <c r="Q74" s="14" t="s">
        <v>510</v>
      </c>
      <c r="R74" s="41">
        <v>44881</v>
      </c>
    </row>
    <row r="75" spans="1:18" s="14" customFormat="1" ht="18" customHeight="1" x14ac:dyDescent="0.2">
      <c r="A75" s="11">
        <v>74</v>
      </c>
      <c r="B75" s="7" t="s">
        <v>539</v>
      </c>
      <c r="C75" s="7" t="s">
        <v>307</v>
      </c>
      <c r="D75" s="10" t="s">
        <v>183</v>
      </c>
      <c r="E75" s="11" t="s">
        <v>14</v>
      </c>
      <c r="F75" s="6" t="s">
        <v>27</v>
      </c>
      <c r="G75" s="6" t="s">
        <v>184</v>
      </c>
      <c r="H75" s="8" t="s">
        <v>21</v>
      </c>
      <c r="I75" s="9">
        <v>-72.529730145200006</v>
      </c>
      <c r="J75" s="9">
        <v>-14.6631416019</v>
      </c>
      <c r="K75" s="45">
        <v>0</v>
      </c>
      <c r="L75" s="45" t="s">
        <v>506</v>
      </c>
      <c r="N75" s="45">
        <v>1.5</v>
      </c>
      <c r="O75" s="45">
        <v>2026</v>
      </c>
      <c r="P75" s="45" t="s">
        <v>496</v>
      </c>
      <c r="Q75" s="14" t="s">
        <v>509</v>
      </c>
      <c r="R75" s="41">
        <v>44881</v>
      </c>
    </row>
    <row r="76" spans="1:18" s="14" customFormat="1" ht="18" customHeight="1" x14ac:dyDescent="0.2">
      <c r="A76" s="11">
        <v>75</v>
      </c>
      <c r="B76" s="7" t="s">
        <v>539</v>
      </c>
      <c r="C76" s="7" t="s">
        <v>311</v>
      </c>
      <c r="D76" s="10" t="s">
        <v>266</v>
      </c>
      <c r="E76" s="6" t="s">
        <v>535</v>
      </c>
      <c r="F76" s="6" t="s">
        <v>185</v>
      </c>
      <c r="G76" s="6" t="s">
        <v>186</v>
      </c>
      <c r="H76" s="8" t="s">
        <v>6</v>
      </c>
      <c r="I76" s="9">
        <v>-76.523496790300001</v>
      </c>
      <c r="J76" s="9">
        <v>-9.8054102029799992</v>
      </c>
      <c r="K76" s="45">
        <v>0</v>
      </c>
      <c r="L76" s="45" t="s">
        <v>506</v>
      </c>
      <c r="N76" s="45">
        <v>2</v>
      </c>
      <c r="O76" s="45">
        <v>2026</v>
      </c>
      <c r="P76" s="45" t="s">
        <v>496</v>
      </c>
      <c r="Q76" s="14" t="s">
        <v>508</v>
      </c>
      <c r="R76" s="41">
        <v>44881</v>
      </c>
    </row>
    <row r="77" spans="1:18" s="14" customFormat="1" ht="18" customHeight="1" x14ac:dyDescent="0.2">
      <c r="A77" s="11">
        <v>76</v>
      </c>
      <c r="B77" s="7" t="s">
        <v>539</v>
      </c>
      <c r="C77" s="7" t="s">
        <v>312</v>
      </c>
      <c r="D77" s="10" t="s">
        <v>187</v>
      </c>
      <c r="E77" s="6" t="s">
        <v>7</v>
      </c>
      <c r="F77" s="6" t="s">
        <v>272</v>
      </c>
      <c r="G77" s="6" t="s">
        <v>279</v>
      </c>
      <c r="H77" s="8" t="s">
        <v>21</v>
      </c>
      <c r="I77" s="9">
        <v>-77.183891389899998</v>
      </c>
      <c r="J77" s="9">
        <v>-10.9172534272</v>
      </c>
      <c r="K77" s="45">
        <v>0</v>
      </c>
      <c r="L77" s="45" t="s">
        <v>506</v>
      </c>
      <c r="N77" s="45">
        <v>7.3</v>
      </c>
      <c r="O77" s="45">
        <v>2026</v>
      </c>
      <c r="P77" s="45" t="s">
        <v>496</v>
      </c>
      <c r="Q77" s="14" t="s">
        <v>509</v>
      </c>
      <c r="R77" s="41">
        <v>44881</v>
      </c>
    </row>
    <row r="78" spans="1:18" s="14" customFormat="1" ht="18" customHeight="1" x14ac:dyDescent="0.2">
      <c r="A78" s="11">
        <v>77</v>
      </c>
      <c r="B78" s="7" t="s">
        <v>539</v>
      </c>
      <c r="C78" s="7" t="s">
        <v>312</v>
      </c>
      <c r="D78" s="10" t="s">
        <v>188</v>
      </c>
      <c r="E78" s="6" t="s">
        <v>55</v>
      </c>
      <c r="F78" s="6" t="s">
        <v>189</v>
      </c>
      <c r="G78" s="6" t="s">
        <v>327</v>
      </c>
      <c r="H78" s="8" t="s">
        <v>21</v>
      </c>
      <c r="I78" s="9">
        <v>-72.393204087300006</v>
      </c>
      <c r="J78" s="9">
        <v>-15.673085971300001</v>
      </c>
      <c r="K78" s="45">
        <v>0</v>
      </c>
      <c r="L78" s="45" t="s">
        <v>506</v>
      </c>
      <c r="N78" s="45">
        <v>3.8</v>
      </c>
      <c r="O78" s="45">
        <v>2026</v>
      </c>
      <c r="P78" s="45" t="s">
        <v>496</v>
      </c>
      <c r="Q78" s="14" t="s">
        <v>509</v>
      </c>
      <c r="R78" s="41">
        <v>44881</v>
      </c>
    </row>
    <row r="79" spans="1:18" s="14" customFormat="1" ht="18" customHeight="1" x14ac:dyDescent="0.2">
      <c r="A79" s="11">
        <v>78</v>
      </c>
      <c r="B79" s="7" t="s">
        <v>539</v>
      </c>
      <c r="C79" s="7" t="s">
        <v>291</v>
      </c>
      <c r="D79" s="10" t="s">
        <v>190</v>
      </c>
      <c r="E79" s="6" t="s">
        <v>47</v>
      </c>
      <c r="F79" s="6" t="s">
        <v>191</v>
      </c>
      <c r="G79" s="6" t="s">
        <v>328</v>
      </c>
      <c r="H79" s="8" t="s">
        <v>21</v>
      </c>
      <c r="I79" s="9">
        <v>-78.893432348900006</v>
      </c>
      <c r="J79" s="9">
        <v>-6.8093015040099996</v>
      </c>
      <c r="K79" s="45">
        <v>0</v>
      </c>
      <c r="L79" s="45" t="s">
        <v>507</v>
      </c>
      <c r="N79" s="45">
        <v>114.3</v>
      </c>
      <c r="O79" s="45">
        <v>2026</v>
      </c>
      <c r="P79" s="45" t="s">
        <v>496</v>
      </c>
      <c r="Q79" s="14" t="s">
        <v>510</v>
      </c>
      <c r="R79" s="41">
        <v>44881</v>
      </c>
    </row>
    <row r="80" spans="1:18" s="14" customFormat="1" ht="18" customHeight="1" x14ac:dyDescent="0.2">
      <c r="A80" s="11">
        <v>79</v>
      </c>
      <c r="B80" s="7" t="s">
        <v>539</v>
      </c>
      <c r="C80" s="7" t="s">
        <v>313</v>
      </c>
      <c r="D80" s="10" t="s">
        <v>192</v>
      </c>
      <c r="E80" s="11" t="s">
        <v>22</v>
      </c>
      <c r="F80" s="6" t="s">
        <v>23</v>
      </c>
      <c r="G80" s="6" t="s">
        <v>23</v>
      </c>
      <c r="H80" s="8" t="s">
        <v>21</v>
      </c>
      <c r="I80" s="9">
        <v>-77.650881201800004</v>
      </c>
      <c r="J80" s="9">
        <v>-7.6632175066399997</v>
      </c>
      <c r="K80" s="45">
        <v>0</v>
      </c>
      <c r="L80" s="45" t="s">
        <v>506</v>
      </c>
      <c r="N80" s="45">
        <v>68.599999999999994</v>
      </c>
      <c r="O80" s="45">
        <v>2027</v>
      </c>
      <c r="P80" s="45" t="s">
        <v>496</v>
      </c>
      <c r="Q80" s="14" t="s">
        <v>510</v>
      </c>
      <c r="R80" s="41">
        <v>44881</v>
      </c>
    </row>
    <row r="81" spans="1:18" s="14" customFormat="1" ht="18" customHeight="1" x14ac:dyDescent="0.2">
      <c r="A81" s="11">
        <v>80</v>
      </c>
      <c r="B81" s="7" t="s">
        <v>539</v>
      </c>
      <c r="C81" s="7" t="s">
        <v>292</v>
      </c>
      <c r="D81" s="10" t="s">
        <v>193</v>
      </c>
      <c r="E81" s="6" t="s">
        <v>7</v>
      </c>
      <c r="F81" s="6" t="s">
        <v>8</v>
      </c>
      <c r="G81" s="6" t="s">
        <v>194</v>
      </c>
      <c r="H81" s="8" t="s">
        <v>150</v>
      </c>
      <c r="I81" s="9">
        <v>-76.924222807899994</v>
      </c>
      <c r="J81" s="9">
        <v>-11.483807475300001</v>
      </c>
      <c r="K81" s="45">
        <v>0</v>
      </c>
      <c r="L81" s="45" t="s">
        <v>506</v>
      </c>
      <c r="N81" s="45">
        <v>1</v>
      </c>
      <c r="O81" s="45">
        <v>2027</v>
      </c>
      <c r="P81" s="45" t="s">
        <v>496</v>
      </c>
      <c r="Q81" s="14" t="s">
        <v>547</v>
      </c>
      <c r="R81" s="41">
        <v>44932</v>
      </c>
    </row>
    <row r="82" spans="1:18" s="14" customFormat="1" ht="18" customHeight="1" x14ac:dyDescent="0.2">
      <c r="A82" s="11">
        <v>81</v>
      </c>
      <c r="B82" s="7" t="s">
        <v>539</v>
      </c>
      <c r="C82" s="7" t="s">
        <v>314</v>
      </c>
      <c r="D82" s="10" t="s">
        <v>267</v>
      </c>
      <c r="E82" s="11" t="s">
        <v>22</v>
      </c>
      <c r="F82" s="6" t="s">
        <v>181</v>
      </c>
      <c r="G82" s="6" t="s">
        <v>195</v>
      </c>
      <c r="H82" s="8" t="s">
        <v>6</v>
      </c>
      <c r="I82" s="9">
        <v>-78.743251801400007</v>
      </c>
      <c r="J82" s="9">
        <v>-7.7200234507500003</v>
      </c>
      <c r="K82" s="45">
        <v>0</v>
      </c>
      <c r="L82" s="45" t="s">
        <v>506</v>
      </c>
      <c r="N82" s="45">
        <v>3</v>
      </c>
      <c r="O82" s="45">
        <v>2026</v>
      </c>
      <c r="P82" s="45" t="s">
        <v>496</v>
      </c>
      <c r="Q82" s="14" t="s">
        <v>509</v>
      </c>
      <c r="R82" s="41">
        <v>44881</v>
      </c>
    </row>
    <row r="83" spans="1:18" s="14" customFormat="1" ht="18" customHeight="1" x14ac:dyDescent="0.2">
      <c r="A83" s="11">
        <v>82</v>
      </c>
      <c r="B83" s="7" t="s">
        <v>539</v>
      </c>
      <c r="C83" s="7" t="s">
        <v>293</v>
      </c>
      <c r="D83" s="10" t="s">
        <v>196</v>
      </c>
      <c r="E83" s="11" t="s">
        <v>34</v>
      </c>
      <c r="F83" s="6" t="s">
        <v>197</v>
      </c>
      <c r="G83" s="6" t="s">
        <v>326</v>
      </c>
      <c r="H83" s="8" t="s">
        <v>21</v>
      </c>
      <c r="I83" s="9">
        <v>-75.882218730100007</v>
      </c>
      <c r="J83" s="9">
        <v>-10.397434795500001</v>
      </c>
      <c r="K83" s="45">
        <v>0</v>
      </c>
      <c r="L83" s="45" t="s">
        <v>506</v>
      </c>
      <c r="N83" s="45">
        <v>4.5</v>
      </c>
      <c r="O83" s="45">
        <v>2027</v>
      </c>
      <c r="P83" s="45" t="s">
        <v>496</v>
      </c>
      <c r="Q83" s="14" t="s">
        <v>510</v>
      </c>
      <c r="R83" s="41">
        <v>44881</v>
      </c>
    </row>
    <row r="84" spans="1:18" s="14" customFormat="1" ht="18" customHeight="1" x14ac:dyDescent="0.2">
      <c r="A84" s="11">
        <v>83</v>
      </c>
      <c r="B84" s="7" t="s">
        <v>539</v>
      </c>
      <c r="C84" s="7" t="s">
        <v>308</v>
      </c>
      <c r="D84" s="10" t="s">
        <v>198</v>
      </c>
      <c r="E84" s="6" t="s">
        <v>453</v>
      </c>
      <c r="F84" s="6" t="s">
        <v>127</v>
      </c>
      <c r="G84" s="6" t="s">
        <v>199</v>
      </c>
      <c r="H84" s="8" t="s">
        <v>150</v>
      </c>
      <c r="I84" s="9">
        <v>-77.874508753499995</v>
      </c>
      <c r="J84" s="9">
        <v>-9.7676748934499997</v>
      </c>
      <c r="K84" s="45">
        <v>0</v>
      </c>
      <c r="L84" s="45" t="s">
        <v>506</v>
      </c>
      <c r="N84" s="45">
        <v>6.8</v>
      </c>
      <c r="O84" s="45">
        <v>2027</v>
      </c>
      <c r="P84" s="45" t="s">
        <v>496</v>
      </c>
      <c r="Q84" s="14" t="s">
        <v>510</v>
      </c>
      <c r="R84" s="41">
        <v>44881</v>
      </c>
    </row>
    <row r="85" spans="1:18" s="14" customFormat="1" ht="18" customHeight="1" x14ac:dyDescent="0.2">
      <c r="A85" s="11">
        <v>84</v>
      </c>
      <c r="B85" s="7" t="s">
        <v>539</v>
      </c>
      <c r="C85" s="7" t="s">
        <v>285</v>
      </c>
      <c r="D85" s="10" t="s">
        <v>200</v>
      </c>
      <c r="E85" s="6" t="s">
        <v>55</v>
      </c>
      <c r="F85" s="6" t="s">
        <v>135</v>
      </c>
      <c r="G85" s="6" t="s">
        <v>157</v>
      </c>
      <c r="H85" s="8" t="s">
        <v>6</v>
      </c>
      <c r="I85" s="9">
        <v>-74.326141912699995</v>
      </c>
      <c r="J85" s="9">
        <v>-15.666984962200001</v>
      </c>
      <c r="K85" s="45">
        <v>0</v>
      </c>
      <c r="L85" s="45" t="s">
        <v>506</v>
      </c>
      <c r="N85" s="45">
        <v>1.8</v>
      </c>
      <c r="O85" s="45">
        <v>2026</v>
      </c>
      <c r="P85" s="45" t="s">
        <v>496</v>
      </c>
      <c r="Q85" s="14" t="s">
        <v>547</v>
      </c>
      <c r="R85" s="41">
        <v>44932</v>
      </c>
    </row>
    <row r="86" spans="1:18" s="14" customFormat="1" ht="18" customHeight="1" x14ac:dyDescent="0.2">
      <c r="A86" s="11">
        <v>85</v>
      </c>
      <c r="B86" s="7" t="s">
        <v>539</v>
      </c>
      <c r="C86" s="7" t="s">
        <v>294</v>
      </c>
      <c r="D86" s="10" t="s">
        <v>200</v>
      </c>
      <c r="E86" s="6" t="s">
        <v>66</v>
      </c>
      <c r="F86" s="6" t="s">
        <v>201</v>
      </c>
      <c r="G86" s="6" t="s">
        <v>325</v>
      </c>
      <c r="H86" s="8" t="s">
        <v>21</v>
      </c>
      <c r="I86" s="9">
        <v>-73.9025752238</v>
      </c>
      <c r="J86" s="9">
        <v>-14.795613532500001</v>
      </c>
      <c r="K86" s="45">
        <v>0</v>
      </c>
      <c r="L86" s="45" t="s">
        <v>506</v>
      </c>
      <c r="N86" s="45">
        <v>2</v>
      </c>
      <c r="O86" s="45">
        <v>2026</v>
      </c>
      <c r="P86" s="45" t="s">
        <v>496</v>
      </c>
      <c r="Q86" s="14" t="s">
        <v>509</v>
      </c>
      <c r="R86" s="41">
        <v>44881</v>
      </c>
    </row>
    <row r="87" spans="1:18" s="14" customFormat="1" ht="18" customHeight="1" x14ac:dyDescent="0.2">
      <c r="A87" s="11">
        <v>86</v>
      </c>
      <c r="B87" s="7" t="s">
        <v>539</v>
      </c>
      <c r="C87" s="7" t="s">
        <v>295</v>
      </c>
      <c r="D87" s="10" t="s">
        <v>202</v>
      </c>
      <c r="E87" s="6" t="s">
        <v>535</v>
      </c>
      <c r="F87" s="6" t="s">
        <v>203</v>
      </c>
      <c r="G87" s="6" t="s">
        <v>204</v>
      </c>
      <c r="H87" s="8" t="s">
        <v>142</v>
      </c>
      <c r="I87" s="9">
        <v>-76.281314233499998</v>
      </c>
      <c r="J87" s="9">
        <v>-10.373419546899999</v>
      </c>
      <c r="K87" s="45">
        <v>0</v>
      </c>
      <c r="L87" s="45" t="s">
        <v>506</v>
      </c>
      <c r="N87" s="45">
        <v>3.2</v>
      </c>
      <c r="O87" s="45">
        <v>2026</v>
      </c>
      <c r="P87" s="45" t="s">
        <v>496</v>
      </c>
      <c r="Q87" s="14" t="s">
        <v>509</v>
      </c>
      <c r="R87" s="41">
        <v>44881</v>
      </c>
    </row>
    <row r="88" spans="1:18" s="14" customFormat="1" ht="18" customHeight="1" x14ac:dyDescent="0.2">
      <c r="A88" s="11">
        <v>87</v>
      </c>
      <c r="B88" s="7" t="s">
        <v>539</v>
      </c>
      <c r="C88" s="7" t="s">
        <v>315</v>
      </c>
      <c r="D88" s="10" t="s">
        <v>268</v>
      </c>
      <c r="E88" s="6" t="s">
        <v>453</v>
      </c>
      <c r="F88" s="6" t="s">
        <v>205</v>
      </c>
      <c r="G88" s="6" t="s">
        <v>329</v>
      </c>
      <c r="H88" s="8" t="s">
        <v>6</v>
      </c>
      <c r="I88" s="9">
        <v>-77.915059004100002</v>
      </c>
      <c r="J88" s="9">
        <v>-9.1954330467999998</v>
      </c>
      <c r="K88" s="45">
        <v>0</v>
      </c>
      <c r="L88" s="45" t="s">
        <v>506</v>
      </c>
      <c r="N88" s="45">
        <v>5</v>
      </c>
      <c r="O88" s="45">
        <v>2027</v>
      </c>
      <c r="P88" s="45" t="s">
        <v>496</v>
      </c>
      <c r="Q88" s="14" t="s">
        <v>547</v>
      </c>
      <c r="R88" s="41">
        <v>44932</v>
      </c>
    </row>
    <row r="89" spans="1:18" s="14" customFormat="1" ht="18" customHeight="1" x14ac:dyDescent="0.2">
      <c r="A89" s="11">
        <v>88</v>
      </c>
      <c r="B89" s="7" t="s">
        <v>539</v>
      </c>
      <c r="C89" s="7" t="s">
        <v>316</v>
      </c>
      <c r="D89" s="10" t="s">
        <v>206</v>
      </c>
      <c r="E89" s="6" t="s">
        <v>86</v>
      </c>
      <c r="F89" s="6" t="s">
        <v>86</v>
      </c>
      <c r="G89" s="6" t="s">
        <v>207</v>
      </c>
      <c r="H89" s="8" t="s">
        <v>142</v>
      </c>
      <c r="I89" s="9">
        <v>-75.060332274000004</v>
      </c>
      <c r="J89" s="9">
        <v>-12.67201223</v>
      </c>
      <c r="K89" s="45">
        <v>0</v>
      </c>
      <c r="L89" s="45" t="s">
        <v>506</v>
      </c>
      <c r="N89" s="45">
        <v>2.5</v>
      </c>
      <c r="O89" s="45">
        <v>2026</v>
      </c>
      <c r="P89" s="45" t="s">
        <v>496</v>
      </c>
      <c r="Q89" s="14" t="s">
        <v>508</v>
      </c>
      <c r="R89" s="41">
        <v>44881</v>
      </c>
    </row>
    <row r="90" spans="1:18" s="14" customFormat="1" ht="18" customHeight="1" x14ac:dyDescent="0.2">
      <c r="A90" s="11">
        <v>89</v>
      </c>
      <c r="B90" s="7" t="s">
        <v>539</v>
      </c>
      <c r="C90" s="7" t="s">
        <v>317</v>
      </c>
      <c r="D90" s="10" t="s">
        <v>208</v>
      </c>
      <c r="E90" s="6" t="s">
        <v>66</v>
      </c>
      <c r="F90" s="6" t="s">
        <v>201</v>
      </c>
      <c r="G90" s="6" t="s">
        <v>209</v>
      </c>
      <c r="H90" s="8" t="s">
        <v>21</v>
      </c>
      <c r="I90" s="9">
        <v>-74.470964011800007</v>
      </c>
      <c r="J90" s="9">
        <v>-14.523589838099999</v>
      </c>
      <c r="K90" s="45">
        <v>0</v>
      </c>
      <c r="L90" s="45" t="s">
        <v>506</v>
      </c>
      <c r="N90" s="45">
        <v>1.5</v>
      </c>
      <c r="O90" s="45">
        <v>2027</v>
      </c>
      <c r="P90" s="45" t="s">
        <v>496</v>
      </c>
      <c r="Q90" s="14" t="s">
        <v>510</v>
      </c>
      <c r="R90" s="41">
        <v>44881</v>
      </c>
    </row>
    <row r="91" spans="1:18" s="14" customFormat="1" ht="18" customHeight="1" x14ac:dyDescent="0.2">
      <c r="A91" s="11">
        <v>90</v>
      </c>
      <c r="B91" s="7" t="s">
        <v>539</v>
      </c>
      <c r="C91" s="7" t="s">
        <v>307</v>
      </c>
      <c r="D91" s="10" t="s">
        <v>210</v>
      </c>
      <c r="E91" s="6" t="s">
        <v>66</v>
      </c>
      <c r="F91" s="6" t="s">
        <v>162</v>
      </c>
      <c r="G91" s="6" t="s">
        <v>273</v>
      </c>
      <c r="H91" s="8" t="s">
        <v>21</v>
      </c>
      <c r="I91" s="9">
        <v>-73.205557608099994</v>
      </c>
      <c r="J91" s="9">
        <v>-14.731793788199999</v>
      </c>
      <c r="K91" s="45">
        <v>0</v>
      </c>
      <c r="L91" s="45" t="s">
        <v>507</v>
      </c>
      <c r="N91" s="45">
        <v>2.8</v>
      </c>
      <c r="O91" s="45">
        <v>2026</v>
      </c>
      <c r="P91" s="45" t="s">
        <v>496</v>
      </c>
      <c r="Q91" s="14" t="s">
        <v>509</v>
      </c>
      <c r="R91" s="41">
        <v>44881</v>
      </c>
    </row>
    <row r="92" spans="1:18" s="14" customFormat="1" ht="18" customHeight="1" x14ac:dyDescent="0.2">
      <c r="A92" s="11">
        <v>91</v>
      </c>
      <c r="B92" s="7" t="s">
        <v>539</v>
      </c>
      <c r="C92" s="7" t="s">
        <v>307</v>
      </c>
      <c r="D92" s="10" t="s">
        <v>211</v>
      </c>
      <c r="E92" s="6" t="s">
        <v>66</v>
      </c>
      <c r="F92" s="6" t="s">
        <v>162</v>
      </c>
      <c r="G92" s="6" t="s">
        <v>273</v>
      </c>
      <c r="H92" s="8" t="s">
        <v>21</v>
      </c>
      <c r="I92" s="9">
        <v>-73.213093635500002</v>
      </c>
      <c r="J92" s="9">
        <v>-14.811861592</v>
      </c>
      <c r="K92" s="45">
        <v>0</v>
      </c>
      <c r="L92" s="45" t="s">
        <v>507</v>
      </c>
      <c r="N92" s="45">
        <v>2.8</v>
      </c>
      <c r="O92" s="45">
        <v>2026</v>
      </c>
      <c r="P92" s="45" t="s">
        <v>496</v>
      </c>
      <c r="Q92" s="14" t="s">
        <v>509</v>
      </c>
      <c r="R92" s="41">
        <v>44881</v>
      </c>
    </row>
    <row r="93" spans="1:18" s="14" customFormat="1" ht="18" customHeight="1" x14ac:dyDescent="0.2">
      <c r="A93" s="11">
        <v>92</v>
      </c>
      <c r="B93" s="7" t="s">
        <v>539</v>
      </c>
      <c r="C93" s="7" t="s">
        <v>296</v>
      </c>
      <c r="D93" s="10" t="s">
        <v>212</v>
      </c>
      <c r="E93" s="6" t="s">
        <v>72</v>
      </c>
      <c r="F93" s="6" t="s">
        <v>213</v>
      </c>
      <c r="G93" s="6" t="s">
        <v>214</v>
      </c>
      <c r="H93" s="8" t="s">
        <v>6</v>
      </c>
      <c r="I93" s="9">
        <v>-71.372097424100005</v>
      </c>
      <c r="J93" s="9">
        <v>-16.741486905999999</v>
      </c>
      <c r="K93" s="45">
        <v>0</v>
      </c>
      <c r="L93" s="45" t="s">
        <v>506</v>
      </c>
      <c r="N93" s="45">
        <v>45.5</v>
      </c>
      <c r="O93" s="45">
        <v>2025</v>
      </c>
      <c r="P93" s="45" t="s">
        <v>495</v>
      </c>
      <c r="Q93" s="14" t="s">
        <v>508</v>
      </c>
      <c r="R93" s="41">
        <v>44881</v>
      </c>
    </row>
    <row r="94" spans="1:18" s="14" customFormat="1" ht="18" customHeight="1" x14ac:dyDescent="0.2">
      <c r="A94" s="11">
        <v>93</v>
      </c>
      <c r="B94" s="7" t="s">
        <v>539</v>
      </c>
      <c r="C94" s="7" t="s">
        <v>318</v>
      </c>
      <c r="D94" s="10" t="s">
        <v>269</v>
      </c>
      <c r="E94" s="6" t="s">
        <v>55</v>
      </c>
      <c r="F94" s="6" t="s">
        <v>135</v>
      </c>
      <c r="G94" s="6" t="s">
        <v>215</v>
      </c>
      <c r="H94" s="8" t="s">
        <v>6</v>
      </c>
      <c r="I94" s="9">
        <v>-73.969081833999994</v>
      </c>
      <c r="J94" s="9">
        <v>-15.944572382900001</v>
      </c>
      <c r="K94" s="45">
        <v>0</v>
      </c>
      <c r="L94" s="45" t="s">
        <v>506</v>
      </c>
      <c r="N94" s="45">
        <v>3.9</v>
      </c>
      <c r="O94" s="45">
        <v>2026</v>
      </c>
      <c r="P94" s="45" t="s">
        <v>496</v>
      </c>
      <c r="Q94" s="14" t="s">
        <v>509</v>
      </c>
      <c r="R94" s="41">
        <v>44881</v>
      </c>
    </row>
    <row r="95" spans="1:18" s="14" customFormat="1" ht="18" customHeight="1" x14ac:dyDescent="0.2">
      <c r="A95" s="11">
        <v>94</v>
      </c>
      <c r="B95" s="7" t="s">
        <v>539</v>
      </c>
      <c r="C95" s="7" t="s">
        <v>319</v>
      </c>
      <c r="D95" s="10" t="s">
        <v>216</v>
      </c>
      <c r="E95" s="6" t="s">
        <v>453</v>
      </c>
      <c r="F95" s="6" t="s">
        <v>217</v>
      </c>
      <c r="G95" s="6" t="s">
        <v>218</v>
      </c>
      <c r="H95" s="8" t="s">
        <v>6</v>
      </c>
      <c r="I95" s="9">
        <v>-77.710559564199997</v>
      </c>
      <c r="J95" s="9">
        <v>-8.5763749575499997</v>
      </c>
      <c r="K95" s="45">
        <v>0</v>
      </c>
      <c r="L95" s="45" t="s">
        <v>506</v>
      </c>
      <c r="N95" s="45">
        <v>2</v>
      </c>
      <c r="O95" s="45">
        <v>2026</v>
      </c>
      <c r="P95" s="45" t="s">
        <v>496</v>
      </c>
      <c r="Q95" s="14" t="s">
        <v>509</v>
      </c>
      <c r="R95" s="41">
        <v>44881</v>
      </c>
    </row>
    <row r="96" spans="1:18" s="14" customFormat="1" ht="18" customHeight="1" x14ac:dyDescent="0.2">
      <c r="A96" s="11">
        <v>95</v>
      </c>
      <c r="B96" s="7" t="s">
        <v>539</v>
      </c>
      <c r="C96" s="7" t="s">
        <v>308</v>
      </c>
      <c r="D96" s="10" t="s">
        <v>219</v>
      </c>
      <c r="E96" s="6" t="s">
        <v>7</v>
      </c>
      <c r="F96" s="6" t="s">
        <v>275</v>
      </c>
      <c r="G96" s="6" t="s">
        <v>280</v>
      </c>
      <c r="H96" s="8" t="s">
        <v>220</v>
      </c>
      <c r="I96" s="9">
        <v>-75.994240000000005</v>
      </c>
      <c r="J96" s="9">
        <v>-13.060059000000001</v>
      </c>
      <c r="K96" s="45">
        <v>0</v>
      </c>
      <c r="L96" s="45" t="s">
        <v>507</v>
      </c>
      <c r="N96" s="45">
        <v>3.2</v>
      </c>
      <c r="O96" s="45">
        <v>2026</v>
      </c>
      <c r="P96" s="45" t="s">
        <v>496</v>
      </c>
      <c r="Q96" s="14" t="s">
        <v>547</v>
      </c>
      <c r="R96" s="41">
        <v>44932</v>
      </c>
    </row>
    <row r="97" spans="1:18" s="14" customFormat="1" ht="18" customHeight="1" x14ac:dyDescent="0.2">
      <c r="A97" s="11">
        <v>96</v>
      </c>
      <c r="B97" s="7" t="s">
        <v>539</v>
      </c>
      <c r="C97" s="7" t="s">
        <v>314</v>
      </c>
      <c r="D97" s="10" t="s">
        <v>221</v>
      </c>
      <c r="E97" s="6" t="s">
        <v>38</v>
      </c>
      <c r="F97" s="6" t="s">
        <v>170</v>
      </c>
      <c r="G97" s="6" t="s">
        <v>222</v>
      </c>
      <c r="H97" s="8" t="s">
        <v>6</v>
      </c>
      <c r="I97" s="9">
        <v>-71.7658764631</v>
      </c>
      <c r="J97" s="9">
        <v>-14.3750620851</v>
      </c>
      <c r="K97" s="45">
        <v>0</v>
      </c>
      <c r="L97" s="45" t="s">
        <v>507</v>
      </c>
      <c r="N97" s="45">
        <v>3</v>
      </c>
      <c r="O97" s="45">
        <v>2026</v>
      </c>
      <c r="P97" s="45" t="s">
        <v>496</v>
      </c>
      <c r="Q97" s="14" t="s">
        <v>509</v>
      </c>
      <c r="R97" s="41">
        <v>44881</v>
      </c>
    </row>
    <row r="98" spans="1:18" s="14" customFormat="1" ht="18" customHeight="1" x14ac:dyDescent="0.2">
      <c r="A98" s="11">
        <v>97</v>
      </c>
      <c r="B98" s="7" t="s">
        <v>539</v>
      </c>
      <c r="C98" s="7" t="s">
        <v>297</v>
      </c>
      <c r="D98" s="10" t="s">
        <v>223</v>
      </c>
      <c r="E98" s="6" t="s">
        <v>51</v>
      </c>
      <c r="F98" s="6" t="s">
        <v>52</v>
      </c>
      <c r="G98" s="6" t="s">
        <v>225</v>
      </c>
      <c r="H98" s="8" t="s">
        <v>224</v>
      </c>
      <c r="I98" s="9">
        <v>-70.296515637599995</v>
      </c>
      <c r="J98" s="9">
        <v>-14.2054886597</v>
      </c>
      <c r="K98" s="45">
        <v>0</v>
      </c>
      <c r="L98" s="45" t="s">
        <v>507</v>
      </c>
      <c r="N98" s="45">
        <v>6</v>
      </c>
      <c r="O98" s="45">
        <v>2026</v>
      </c>
      <c r="P98" s="45" t="s">
        <v>496</v>
      </c>
      <c r="Q98" s="14" t="s">
        <v>509</v>
      </c>
      <c r="R98" s="41">
        <v>44881</v>
      </c>
    </row>
    <row r="99" spans="1:18" s="14" customFormat="1" ht="18" customHeight="1" x14ac:dyDescent="0.2">
      <c r="A99" s="11">
        <v>98</v>
      </c>
      <c r="B99" s="7" t="s">
        <v>539</v>
      </c>
      <c r="C99" s="7" t="s">
        <v>297</v>
      </c>
      <c r="D99" s="10" t="s">
        <v>226</v>
      </c>
      <c r="E99" s="6" t="s">
        <v>55</v>
      </c>
      <c r="F99" s="6" t="s">
        <v>154</v>
      </c>
      <c r="G99" s="6" t="s">
        <v>228</v>
      </c>
      <c r="H99" s="8" t="s">
        <v>227</v>
      </c>
      <c r="I99" s="9">
        <v>-71.269219490400005</v>
      </c>
      <c r="J99" s="9">
        <v>-15.593443844299999</v>
      </c>
      <c r="K99" s="45">
        <v>0</v>
      </c>
      <c r="L99" s="45" t="s">
        <v>506</v>
      </c>
      <c r="N99" s="45">
        <v>2</v>
      </c>
      <c r="O99" s="45">
        <v>2027</v>
      </c>
      <c r="P99" s="45" t="s">
        <v>496</v>
      </c>
      <c r="Q99" s="14" t="s">
        <v>510</v>
      </c>
      <c r="R99" s="41">
        <v>44881</v>
      </c>
    </row>
    <row r="100" spans="1:18" s="14" customFormat="1" ht="18" customHeight="1" x14ac:dyDescent="0.2">
      <c r="A100" s="11">
        <v>99</v>
      </c>
      <c r="B100" s="7" t="s">
        <v>539</v>
      </c>
      <c r="C100" s="7" t="s">
        <v>298</v>
      </c>
      <c r="D100" s="10" t="s">
        <v>229</v>
      </c>
      <c r="E100" s="6" t="s">
        <v>86</v>
      </c>
      <c r="F100" s="6" t="s">
        <v>86</v>
      </c>
      <c r="G100" s="6" t="s">
        <v>230</v>
      </c>
      <c r="H100" s="8" t="s">
        <v>6</v>
      </c>
      <c r="I100" s="9">
        <v>-75.408401487899994</v>
      </c>
      <c r="J100" s="9">
        <v>-12.7319661912</v>
      </c>
      <c r="K100" s="45">
        <v>0</v>
      </c>
      <c r="L100" s="45" t="s">
        <v>506</v>
      </c>
      <c r="N100" s="45">
        <v>4.5999999999999996</v>
      </c>
      <c r="O100" s="45">
        <v>2027</v>
      </c>
      <c r="P100" s="45" t="s">
        <v>496</v>
      </c>
      <c r="Q100" s="14" t="s">
        <v>510</v>
      </c>
      <c r="R100" s="41">
        <v>44881</v>
      </c>
    </row>
    <row r="101" spans="1:18" s="14" customFormat="1" ht="18" customHeight="1" x14ac:dyDescent="0.2">
      <c r="A101" s="11">
        <v>100</v>
      </c>
      <c r="B101" s="7" t="s">
        <v>539</v>
      </c>
      <c r="C101" s="7" t="s">
        <v>317</v>
      </c>
      <c r="D101" s="10" t="s">
        <v>233</v>
      </c>
      <c r="E101" s="11" t="s">
        <v>14</v>
      </c>
      <c r="F101" s="6" t="s">
        <v>234</v>
      </c>
      <c r="G101" s="6" t="s">
        <v>235</v>
      </c>
      <c r="H101" s="8" t="s">
        <v>6</v>
      </c>
      <c r="I101" s="9">
        <v>-72.602599041700003</v>
      </c>
      <c r="J101" s="9">
        <v>-14.159117782199999</v>
      </c>
      <c r="K101" s="45">
        <v>0</v>
      </c>
      <c r="L101" s="45" t="s">
        <v>506</v>
      </c>
      <c r="N101" s="45">
        <v>8</v>
      </c>
      <c r="O101" s="45">
        <v>2026</v>
      </c>
      <c r="P101" s="45" t="s">
        <v>496</v>
      </c>
      <c r="Q101" s="14" t="s">
        <v>509</v>
      </c>
      <c r="R101" s="41">
        <v>44881</v>
      </c>
    </row>
    <row r="102" spans="1:18" s="14" customFormat="1" ht="18" customHeight="1" x14ac:dyDescent="0.2">
      <c r="A102" s="11">
        <v>101</v>
      </c>
      <c r="B102" s="7" t="s">
        <v>539</v>
      </c>
      <c r="C102" s="7" t="s">
        <v>45</v>
      </c>
      <c r="D102" s="10" t="s">
        <v>270</v>
      </c>
      <c r="E102" s="6" t="s">
        <v>47</v>
      </c>
      <c r="F102" s="6" t="s">
        <v>47</v>
      </c>
      <c r="G102" s="6" t="s">
        <v>274</v>
      </c>
      <c r="H102" s="8" t="s">
        <v>21</v>
      </c>
      <c r="I102" s="9">
        <v>-78.511589777699996</v>
      </c>
      <c r="J102" s="9">
        <v>-7.0219903157300001</v>
      </c>
      <c r="K102" s="45">
        <v>0</v>
      </c>
      <c r="L102" s="45" t="s">
        <v>507</v>
      </c>
      <c r="N102" s="45">
        <v>1.8</v>
      </c>
      <c r="O102" s="45">
        <v>2026</v>
      </c>
      <c r="P102" s="45" t="s">
        <v>496</v>
      </c>
      <c r="Q102" s="14" t="s">
        <v>508</v>
      </c>
      <c r="R102" s="41">
        <v>44881</v>
      </c>
    </row>
    <row r="103" spans="1:18" s="14" customFormat="1" ht="18" customHeight="1" x14ac:dyDescent="0.2">
      <c r="A103" s="11">
        <v>102</v>
      </c>
      <c r="B103" s="7" t="s">
        <v>539</v>
      </c>
      <c r="C103" s="7" t="s">
        <v>320</v>
      </c>
      <c r="D103" s="10" t="s">
        <v>236</v>
      </c>
      <c r="E103" s="6" t="s">
        <v>38</v>
      </c>
      <c r="F103" s="6" t="s">
        <v>69</v>
      </c>
      <c r="G103" s="6" t="s">
        <v>237</v>
      </c>
      <c r="H103" s="8" t="s">
        <v>142</v>
      </c>
      <c r="I103" s="9">
        <v>-71.817605228399998</v>
      </c>
      <c r="J103" s="9">
        <v>-15.058809656599999</v>
      </c>
      <c r="K103" s="45">
        <v>0</v>
      </c>
      <c r="L103" s="45" t="s">
        <v>506</v>
      </c>
      <c r="N103" s="45">
        <v>1.4</v>
      </c>
      <c r="O103" s="45">
        <v>2026</v>
      </c>
      <c r="P103" s="45" t="s">
        <v>496</v>
      </c>
      <c r="Q103" s="14" t="s">
        <v>509</v>
      </c>
      <c r="R103" s="41">
        <v>44881</v>
      </c>
    </row>
    <row r="104" spans="1:18" s="14" customFormat="1" ht="18" customHeight="1" x14ac:dyDescent="0.2">
      <c r="A104" s="11">
        <v>103</v>
      </c>
      <c r="B104" s="7" t="s">
        <v>539</v>
      </c>
      <c r="C104" s="7" t="s">
        <v>321</v>
      </c>
      <c r="D104" s="10" t="s">
        <v>238</v>
      </c>
      <c r="E104" s="6" t="s">
        <v>7</v>
      </c>
      <c r="F104" s="6" t="s">
        <v>8</v>
      </c>
      <c r="G104" s="6" t="s">
        <v>239</v>
      </c>
      <c r="H104" s="8" t="s">
        <v>150</v>
      </c>
      <c r="I104" s="9">
        <v>-76.527882664200007</v>
      </c>
      <c r="J104" s="9">
        <v>-11.1788189097</v>
      </c>
      <c r="K104" s="45">
        <v>0</v>
      </c>
      <c r="L104" s="45" t="s">
        <v>507</v>
      </c>
      <c r="N104" s="45">
        <v>2</v>
      </c>
      <c r="O104" s="45">
        <v>2026</v>
      </c>
      <c r="P104" s="45" t="s">
        <v>496</v>
      </c>
      <c r="Q104" s="14" t="s">
        <v>508</v>
      </c>
      <c r="R104" s="41">
        <v>44881</v>
      </c>
    </row>
    <row r="105" spans="1:18" s="14" customFormat="1" ht="18" customHeight="1" x14ac:dyDescent="0.2">
      <c r="A105" s="11">
        <v>104</v>
      </c>
      <c r="B105" s="7" t="s">
        <v>539</v>
      </c>
      <c r="C105" s="7" t="s">
        <v>322</v>
      </c>
      <c r="D105" s="10" t="s">
        <v>240</v>
      </c>
      <c r="E105" s="11" t="s">
        <v>14</v>
      </c>
      <c r="F105" s="6" t="s">
        <v>27</v>
      </c>
      <c r="G105" s="6" t="s">
        <v>27</v>
      </c>
      <c r="H105" s="8" t="s">
        <v>21</v>
      </c>
      <c r="I105" s="9">
        <v>-72.678611832599998</v>
      </c>
      <c r="J105" s="9">
        <v>-14.510051280800001</v>
      </c>
      <c r="K105" s="45">
        <v>0</v>
      </c>
      <c r="L105" s="45" t="s">
        <v>506</v>
      </c>
      <c r="N105" s="45">
        <v>1.3</v>
      </c>
      <c r="O105" s="45">
        <v>2026</v>
      </c>
      <c r="P105" s="45" t="s">
        <v>496</v>
      </c>
      <c r="Q105" s="14" t="s">
        <v>509</v>
      </c>
      <c r="R105" s="41">
        <v>44881</v>
      </c>
    </row>
    <row r="106" spans="1:18" s="14" customFormat="1" ht="18" customHeight="1" x14ac:dyDescent="0.2">
      <c r="A106" s="11">
        <v>105</v>
      </c>
      <c r="B106" s="7" t="s">
        <v>539</v>
      </c>
      <c r="C106" s="7" t="s">
        <v>299</v>
      </c>
      <c r="D106" s="10" t="s">
        <v>241</v>
      </c>
      <c r="E106" s="6" t="s">
        <v>66</v>
      </c>
      <c r="F106" s="6" t="s">
        <v>242</v>
      </c>
      <c r="G106" s="6" t="s">
        <v>243</v>
      </c>
      <c r="H106" s="8" t="s">
        <v>21</v>
      </c>
      <c r="I106" s="9">
        <v>-74.665135872899995</v>
      </c>
      <c r="J106" s="9">
        <v>-13.854288818700001</v>
      </c>
      <c r="K106" s="45">
        <v>0</v>
      </c>
      <c r="L106" s="45" t="s">
        <v>506</v>
      </c>
      <c r="N106" s="45">
        <v>1.8</v>
      </c>
      <c r="O106" s="45">
        <v>2026</v>
      </c>
      <c r="P106" s="45" t="s">
        <v>496</v>
      </c>
      <c r="Q106" s="14" t="s">
        <v>508</v>
      </c>
      <c r="R106" s="41">
        <v>44881</v>
      </c>
    </row>
    <row r="107" spans="1:18" s="14" customFormat="1" ht="18" customHeight="1" x14ac:dyDescent="0.2">
      <c r="A107" s="11">
        <v>106</v>
      </c>
      <c r="B107" s="7" t="s">
        <v>539</v>
      </c>
      <c r="C107" s="7" t="s">
        <v>300</v>
      </c>
      <c r="D107" s="10" t="s">
        <v>244</v>
      </c>
      <c r="E107" s="6" t="s">
        <v>453</v>
      </c>
      <c r="F107" s="6" t="s">
        <v>245</v>
      </c>
      <c r="G107" s="6" t="s">
        <v>245</v>
      </c>
      <c r="H107" s="8" t="s">
        <v>6</v>
      </c>
      <c r="I107" s="9">
        <v>-77.575493047600006</v>
      </c>
      <c r="J107" s="9">
        <v>-9.7759075714199994</v>
      </c>
      <c r="K107" s="45">
        <v>0</v>
      </c>
      <c r="L107" s="45" t="s">
        <v>506</v>
      </c>
      <c r="N107" s="45">
        <v>47</v>
      </c>
      <c r="O107" s="45">
        <v>2026</v>
      </c>
      <c r="P107" s="45" t="s">
        <v>496</v>
      </c>
      <c r="Q107" s="14" t="s">
        <v>510</v>
      </c>
      <c r="R107" s="41">
        <v>44881</v>
      </c>
    </row>
    <row r="108" spans="1:18" s="14" customFormat="1" ht="18" customHeight="1" x14ac:dyDescent="0.2">
      <c r="A108" s="11">
        <v>107</v>
      </c>
      <c r="B108" s="7" t="s">
        <v>539</v>
      </c>
      <c r="C108" s="7" t="s">
        <v>301</v>
      </c>
      <c r="D108" s="10" t="s">
        <v>246</v>
      </c>
      <c r="E108" s="6" t="s">
        <v>66</v>
      </c>
      <c r="F108" s="6" t="s">
        <v>242</v>
      </c>
      <c r="G108" s="6" t="s">
        <v>247</v>
      </c>
      <c r="H108" s="8" t="s">
        <v>6</v>
      </c>
      <c r="I108" s="9">
        <v>-74.401208722800007</v>
      </c>
      <c r="J108" s="9">
        <v>-13.9030555345</v>
      </c>
      <c r="K108" s="45">
        <v>0</v>
      </c>
      <c r="L108" s="45" t="s">
        <v>506</v>
      </c>
      <c r="N108" s="45">
        <v>2.4</v>
      </c>
      <c r="O108" s="45">
        <v>2026</v>
      </c>
      <c r="P108" s="45" t="s">
        <v>496</v>
      </c>
      <c r="Q108" s="14" t="s">
        <v>508</v>
      </c>
      <c r="R108" s="41">
        <v>44881</v>
      </c>
    </row>
    <row r="109" spans="1:18" s="14" customFormat="1" ht="18" customHeight="1" x14ac:dyDescent="0.2">
      <c r="A109" s="11">
        <v>108</v>
      </c>
      <c r="B109" s="7" t="s">
        <v>539</v>
      </c>
      <c r="C109" s="7" t="s">
        <v>302</v>
      </c>
      <c r="D109" s="10" t="s">
        <v>248</v>
      </c>
      <c r="E109" s="6" t="s">
        <v>166</v>
      </c>
      <c r="F109" s="6" t="s">
        <v>249</v>
      </c>
      <c r="G109" s="6" t="s">
        <v>250</v>
      </c>
      <c r="H109" s="8" t="s">
        <v>6</v>
      </c>
      <c r="I109" s="9">
        <v>-70.422119078500003</v>
      </c>
      <c r="J109" s="9">
        <v>-17.164734554700001</v>
      </c>
      <c r="K109" s="45">
        <v>0</v>
      </c>
      <c r="L109" s="45" t="s">
        <v>506</v>
      </c>
      <c r="N109" s="45">
        <v>15</v>
      </c>
      <c r="O109" s="45">
        <v>2026</v>
      </c>
      <c r="P109" s="45" t="s">
        <v>496</v>
      </c>
      <c r="Q109" s="14" t="s">
        <v>509</v>
      </c>
      <c r="R109" s="41">
        <v>44881</v>
      </c>
    </row>
    <row r="110" spans="1:18" s="14" customFormat="1" ht="18" customHeight="1" x14ac:dyDescent="0.2">
      <c r="A110" s="11">
        <v>109</v>
      </c>
      <c r="B110" s="7" t="s">
        <v>539</v>
      </c>
      <c r="C110" s="7" t="s">
        <v>323</v>
      </c>
      <c r="D110" s="10" t="s">
        <v>251</v>
      </c>
      <c r="E110" s="11" t="s">
        <v>14</v>
      </c>
      <c r="F110" s="6" t="s">
        <v>252</v>
      </c>
      <c r="G110" s="6" t="s">
        <v>253</v>
      </c>
      <c r="H110" s="8" t="s">
        <v>21</v>
      </c>
      <c r="I110" s="9">
        <v>-72.974705744800005</v>
      </c>
      <c r="J110" s="9">
        <v>-14.122640953099999</v>
      </c>
      <c r="K110" s="45">
        <v>0</v>
      </c>
      <c r="L110" s="45" t="s">
        <v>506</v>
      </c>
      <c r="N110" s="45">
        <v>2</v>
      </c>
      <c r="O110" s="45">
        <v>2026</v>
      </c>
      <c r="P110" s="45" t="s">
        <v>496</v>
      </c>
      <c r="Q110" s="14" t="s">
        <v>509</v>
      </c>
      <c r="R110" s="41">
        <v>44881</v>
      </c>
    </row>
    <row r="111" spans="1:18" s="14" customFormat="1" ht="18" customHeight="1" x14ac:dyDescent="0.2">
      <c r="A111" s="11">
        <v>110</v>
      </c>
      <c r="B111" s="7" t="s">
        <v>539</v>
      </c>
      <c r="C111" s="7" t="s">
        <v>303</v>
      </c>
      <c r="D111" s="10" t="s">
        <v>254</v>
      </c>
      <c r="E111" s="6" t="s">
        <v>51</v>
      </c>
      <c r="F111" s="6" t="s">
        <v>52</v>
      </c>
      <c r="G111" s="6" t="s">
        <v>255</v>
      </c>
      <c r="H111" s="8" t="s">
        <v>21</v>
      </c>
      <c r="I111" s="9">
        <v>-69.9521767289</v>
      </c>
      <c r="J111" s="9">
        <v>-14.0885729795</v>
      </c>
      <c r="K111" s="45">
        <v>0</v>
      </c>
      <c r="L111" s="45" t="s">
        <v>506</v>
      </c>
      <c r="N111" s="45">
        <v>3.8</v>
      </c>
      <c r="O111" s="45">
        <v>2026</v>
      </c>
      <c r="P111" s="45" t="s">
        <v>496</v>
      </c>
      <c r="Q111" s="14" t="s">
        <v>509</v>
      </c>
      <c r="R111" s="41">
        <v>44881</v>
      </c>
    </row>
    <row r="112" spans="1:18" s="14" customFormat="1" ht="18" customHeight="1" x14ac:dyDescent="0.2">
      <c r="A112" s="11">
        <v>111</v>
      </c>
      <c r="B112" s="7" t="s">
        <v>539</v>
      </c>
      <c r="C112" s="7" t="s">
        <v>307</v>
      </c>
      <c r="D112" s="10" t="s">
        <v>256</v>
      </c>
      <c r="E112" s="6" t="s">
        <v>66</v>
      </c>
      <c r="F112" s="6" t="s">
        <v>162</v>
      </c>
      <c r="G112" s="6" t="s">
        <v>273</v>
      </c>
      <c r="H112" s="8" t="s">
        <v>21</v>
      </c>
      <c r="I112" s="9">
        <v>-73.201522545399996</v>
      </c>
      <c r="J112" s="9">
        <v>-14.713597007600001</v>
      </c>
      <c r="K112" s="45">
        <v>0</v>
      </c>
      <c r="L112" s="45" t="s">
        <v>506</v>
      </c>
      <c r="N112" s="45">
        <v>2.8</v>
      </c>
      <c r="O112" s="45">
        <v>2026</v>
      </c>
      <c r="P112" s="45" t="s">
        <v>496</v>
      </c>
      <c r="Q112" s="14" t="s">
        <v>509</v>
      </c>
      <c r="R112" s="41">
        <v>44881</v>
      </c>
    </row>
    <row r="113" spans="1:18" s="14" customFormat="1" ht="18" customHeight="1" x14ac:dyDescent="0.2">
      <c r="A113" s="11">
        <v>112</v>
      </c>
      <c r="B113" s="7" t="s">
        <v>539</v>
      </c>
      <c r="C113" s="7" t="s">
        <v>304</v>
      </c>
      <c r="D113" s="10" t="s">
        <v>257</v>
      </c>
      <c r="E113" s="6" t="s">
        <v>7</v>
      </c>
      <c r="F113" s="6" t="s">
        <v>258</v>
      </c>
      <c r="G113" s="6" t="s">
        <v>259</v>
      </c>
      <c r="H113" s="8" t="s">
        <v>6</v>
      </c>
      <c r="I113" s="9">
        <v>-75.707368246599998</v>
      </c>
      <c r="J113" s="9">
        <v>-12.341364587299999</v>
      </c>
      <c r="K113" s="45">
        <v>0</v>
      </c>
      <c r="L113" s="45" t="s">
        <v>507</v>
      </c>
      <c r="N113" s="45">
        <v>3.6</v>
      </c>
      <c r="O113" s="45">
        <v>2026</v>
      </c>
      <c r="P113" s="45" t="s">
        <v>496</v>
      </c>
      <c r="Q113" s="14" t="s">
        <v>509</v>
      </c>
      <c r="R113" s="41">
        <v>44881</v>
      </c>
    </row>
    <row r="114" spans="1:18" s="14" customFormat="1" ht="18" customHeight="1" x14ac:dyDescent="0.2">
      <c r="A114" s="11">
        <v>113</v>
      </c>
      <c r="B114" s="7" t="s">
        <v>539</v>
      </c>
      <c r="C114" s="7" t="s">
        <v>324</v>
      </c>
      <c r="D114" s="10" t="s">
        <v>260</v>
      </c>
      <c r="E114" s="11" t="s">
        <v>455</v>
      </c>
      <c r="F114" s="6" t="s">
        <v>24</v>
      </c>
      <c r="G114" s="6" t="s">
        <v>261</v>
      </c>
      <c r="H114" s="8" t="s">
        <v>142</v>
      </c>
      <c r="I114" s="9">
        <v>-75.963163817199998</v>
      </c>
      <c r="J114" s="9">
        <v>-11.7772444542</v>
      </c>
      <c r="K114" s="45">
        <v>0</v>
      </c>
      <c r="L114" s="45" t="s">
        <v>507</v>
      </c>
      <c r="N114" s="45">
        <v>1.7</v>
      </c>
      <c r="O114" s="45">
        <v>2026</v>
      </c>
      <c r="P114" s="45" t="s">
        <v>496</v>
      </c>
      <c r="Q114" s="14" t="s">
        <v>509</v>
      </c>
      <c r="R114" s="41">
        <v>44881</v>
      </c>
    </row>
  </sheetData>
  <phoneticPr fontId="22" type="noConversion"/>
  <hyperlinks>
    <hyperlink ref="Q25" r:id="rId1" display="https://cdn.www.gob.pe/uploads/document/file/2997434/BEM02-2022.pdf.pdf" xr:uid="{31EFCD3F-8420-944B-ABE3-BE691C05037C}"/>
    <hyperlink ref="Q24" r:id="rId2" display="https://cdn.www.gob.pe/uploads/document/file/2997434/BEM02-2022.pdf.pdf" xr:uid="{A9FA8047-F693-B54F-AAB3-99AACA879E81}"/>
    <hyperlink ref="Q13" r:id="rId3" display="https://cdn.www.gob.pe/uploads/document/file/2997434/BEM02-2022.pdf.pdf" xr:uid="{9A760574-FAFB-4848-A005-7F43880A4D68}"/>
    <hyperlink ref="Q37" r:id="rId4" display="https://cdn.www.gob.pe/uploads/document/file/2997434/BEM02-2022.pdf.pdf" xr:uid="{516BEE67-7E54-EF4A-A55D-9C3403304C8F}"/>
    <hyperlink ref="Q2" r:id="rId5" xr:uid="{B637D420-32C6-9445-9324-65787833D071}"/>
    <hyperlink ref="Q7" r:id="rId6" display="https://cooperaccion.org.pe/noticias-ministerio-aprobo-plan-de-actividades-de-minera-rio-blanco/" xr:uid="{B08D5032-11A9-7E44-85CD-099C78A2E452}"/>
    <hyperlink ref="Q8" r:id="rId7" display="https://www.dipromin.com/noticias/mineria/canariaco-se-reformula-rumbo-a-factibilidad-pero-precio-de-cobre-limita-avance/" xr:uid="{4BE3F22C-61F1-7A45-B566-34B22824E645}"/>
    <hyperlink ref="Q10" r:id="rId8" display="https://www.rcrperu.com/si-el-proyecto-tia-maria-empieza-a-operar-de-inmediato-recien-se-podra-creer-al-ministro-de-economia/ " xr:uid="{033CE899-7CDA-AC45-BFEE-A80DFB304881}"/>
    <hyperlink ref="Q12" r:id="rId9" display="https://www.rumbominero.com/peru/noticias/mineria/nexa-proyecto-exploracion-hilarion/ " xr:uid="{DBC46425-CA2A-594E-AD0B-0FF0F5DE03F7}"/>
    <hyperlink ref="Q14" r:id="rId10" display="https://www.rumbominero.com/peru/proyecto-ayawilca-tinka-resources/ " xr:uid="{38330404-D68E-8942-845F-C37FE8A78AA1}"/>
    <hyperlink ref="Q16" r:id="rId11" display="https://cdn.www.gob.pe/uploads/document/file/2997434/BEM02-2022.pdf.pdf" xr:uid="{9A4D1622-ABD2-2B46-8B85-DBB31289CBE3}"/>
    <hyperlink ref="Q17" r:id="rId12" display="https://www.rumbominero.com/peru/noticias/mineria/amazonas-exploracion-proyecto-zinc-canon-de-florida/" xr:uid="{024A1E98-C1D1-E145-980B-CCCA113B3AC4}"/>
    <hyperlink ref="Q18" r:id="rId13" display="https://cdn.www.gob.pe/uploads/document/file/2997434/BEM02-2022.pdf.pdf" xr:uid="{BFBC56EE-4AB3-1042-80C6-93A40F4AAAFE}"/>
    <hyperlink ref="Q19" r:id="rId14" display="https://cdn.www.gob.pe/uploads/document/file/2997434/BEM02-2022.pdf.pdf" xr:uid="{C0D4874F-55F1-E446-855D-0F7BDA4805F0}"/>
    <hyperlink ref="Q20" r:id="rId15" display="https://cdn.www.gob.pe/uploads/document/file/2997434/BEM02-2022.pdf.pdf" xr:uid="{3E180A5D-208C-924D-8919-DA45752CDA6F}"/>
    <hyperlink ref="Q21" r:id="rId16" display="https://cdn.www.gob.pe/uploads/document/file/2997434/BEM02-2022.pdf.pdf" xr:uid="{D9E86AC2-C856-ED4B-9653-547EB8EE2350}"/>
    <hyperlink ref="Q22" r:id="rId17" xr:uid="{FAB6CD58-5F6F-1445-9B8E-B2F71480D3D0}"/>
    <hyperlink ref="Q23" r:id="rId18" xr:uid="{42D66530-088B-244C-B7E6-A9AC00B14B14}"/>
    <hyperlink ref="Q28" r:id="rId19" xr:uid="{5881F719-A752-3B45-9F4C-E0E47B657A95}"/>
    <hyperlink ref="Q29" r:id="rId20" xr:uid="{FA6B10F6-6186-3948-96C1-92AFAB2E2EEE}"/>
    <hyperlink ref="Q30" r:id="rId21" xr:uid="{09AEE412-090D-D840-8E60-200F22B17D4F}"/>
    <hyperlink ref="Q31" r:id="rId22" xr:uid="{4AAED829-6757-BA46-8084-4FF363A1C640}"/>
    <hyperlink ref="Q32" r:id="rId23" xr:uid="{44C3E3AB-2C28-DF4C-BE24-9682B034779F}"/>
    <hyperlink ref="Q34" r:id="rId24" xr:uid="{B91D433A-79CD-A14C-B2ED-B1F9AF9032DD}"/>
    <hyperlink ref="Q35" r:id="rId25" xr:uid="{7FB9CFD1-68BE-DD42-9986-3DCD9BA2945B}"/>
    <hyperlink ref="Q36" r:id="rId26" xr:uid="{E90FF60E-764A-6E46-8E21-6A5105AB1725}"/>
    <hyperlink ref="Q38" r:id="rId27" xr:uid="{EF32C7CC-8C0F-3D46-8086-CB64455091A9}"/>
    <hyperlink ref="Q39" r:id="rId28" display="https://www.rumbominero.com/peru/noticias/mineria/jinzhao-mining-modificar-pampa-pongo/ " xr:uid="{D3F4E7AB-52F7-254F-96A6-DD4B3CB74A9B}"/>
    <hyperlink ref="Q40" r:id="rId29" xr:uid="{C223CC81-AA57-0C43-B786-ACB48C4C3C2E}"/>
    <hyperlink ref="Q44" r:id="rId30" xr:uid="{228E8C87-4CCF-2E48-BEA1-E427E1EC6371}"/>
    <hyperlink ref="Q15" r:id="rId31" xr:uid="{F0D11114-E771-A347-B359-D39E5019D503}"/>
    <hyperlink ref="Q6" r:id="rId32" xr:uid="{7FCEDFBC-1340-404A-BAEA-9FA7F1214303}"/>
    <hyperlink ref="Q45" r:id="rId33" display="https://cdn.www.gob.pe/uploads/document/file/4058035/Cartera%20de%20Proyectos%20de%20Inversi%C3%B3n%20Minera%202023.pdf?v=1674323732https://cdn.www.gob.pe/uploads/document/file/4058035/Cartera%20de%20Proyectos%20de%20Inversi%C3%B3n%20Minera%202023.pdf?v=1674323732 " xr:uid="{12666741-75E8-8247-B7CF-AF6B70528B2E}"/>
    <hyperlink ref="Q5" r:id="rId34" display="https://cdn.www.gob.pe/uploads/document/file/4058035/Cartera%20de%20Proyectos%20de%20Inversi%C3%B3n%20Minera%202023.pdf?v=1674323732https://cdn.www.gob.pe/uploads/document/file/4058035/Cartera%20de%20Proyectos%20de%20Inversi%C3%B3n%20Minera%202023.pdf?v=1674323732 " xr:uid="{F366B36D-AB38-D347-9983-29FE128EBA3F}"/>
    <hyperlink ref="Q41" r:id="rId35" xr:uid="{1610FCC6-EB1E-C34F-B8EA-24D458AC6A3C}"/>
    <hyperlink ref="Q26" r:id="rId36" xr:uid="{300D0BAF-DE9E-D140-96E7-D2D43B47EF42}"/>
  </hyperlinks>
  <pageMargins left="0.7" right="0.7" top="0.75" bottom="0.75" header="0.3" footer="0.3"/>
  <pageSetup orientation="portrait" horizontalDpi="4294967293" verticalDpi="4294967293" r:id="rId37"/>
  <legacyDrawing r:id="rId38"/>
  <tableParts count="1"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900D-A0FF-416B-BF7C-60C031D61224}">
  <dimension ref="A3:B142"/>
  <sheetViews>
    <sheetView showGridLines="0" zoomScale="70" zoomScaleNormal="70" workbookViewId="0">
      <selection activeCell="B3" sqref="B3"/>
    </sheetView>
  </sheetViews>
  <sheetFormatPr baseColWidth="10" defaultRowHeight="15" x14ac:dyDescent="0.2"/>
  <cols>
    <col min="1" max="1" width="54.1640625" bestFit="1" customWidth="1"/>
    <col min="2" max="2" width="37.6640625" bestFit="1" customWidth="1"/>
    <col min="3" max="4" width="2.1640625" bestFit="1" customWidth="1"/>
    <col min="5" max="17" width="3.33203125" bestFit="1" customWidth="1"/>
    <col min="18" max="18" width="11.33203125" bestFit="1" customWidth="1"/>
    <col min="19" max="19" width="12.6640625" bestFit="1" customWidth="1"/>
    <col min="20" max="20" width="9.6640625" bestFit="1" customWidth="1"/>
    <col min="21" max="21" width="14.1640625" bestFit="1" customWidth="1"/>
    <col min="22" max="22" width="9.5" bestFit="1" customWidth="1"/>
    <col min="23" max="23" width="15.83203125" bestFit="1" customWidth="1"/>
    <col min="24" max="24" width="9.5" bestFit="1" customWidth="1"/>
    <col min="25" max="25" width="19.1640625" bestFit="1" customWidth="1"/>
    <col min="26" max="26" width="13.5" bestFit="1" customWidth="1"/>
    <col min="27" max="27" width="11.33203125" bestFit="1" customWidth="1"/>
    <col min="28" max="28" width="7" bestFit="1" customWidth="1"/>
    <col min="29" max="29" width="14.83203125" bestFit="1" customWidth="1"/>
    <col min="30" max="30" width="9.1640625" bestFit="1" customWidth="1"/>
    <col min="31" max="31" width="11.33203125" bestFit="1" customWidth="1"/>
    <col min="32" max="32" width="11.83203125" bestFit="1" customWidth="1"/>
    <col min="33" max="33" width="13.5" bestFit="1" customWidth="1"/>
    <col min="34" max="34" width="15" bestFit="1" customWidth="1"/>
    <col min="35" max="35" width="14.1640625" bestFit="1" customWidth="1"/>
    <col min="36" max="36" width="9.6640625" bestFit="1" customWidth="1"/>
    <col min="37" max="37" width="12.6640625" bestFit="1" customWidth="1"/>
    <col min="38" max="38" width="17.5" bestFit="1" customWidth="1"/>
    <col min="39" max="39" width="10.33203125" bestFit="1" customWidth="1"/>
    <col min="40" max="40" width="9.5" bestFit="1" customWidth="1"/>
    <col min="41" max="41" width="11.5" bestFit="1" customWidth="1"/>
    <col min="42" max="42" width="8.5" bestFit="1" customWidth="1"/>
    <col min="43" max="43" width="17.33203125" bestFit="1" customWidth="1"/>
    <col min="44" max="44" width="16" bestFit="1" customWidth="1"/>
    <col min="45" max="45" width="11" bestFit="1" customWidth="1"/>
    <col min="46" max="46" width="12.6640625" bestFit="1" customWidth="1"/>
    <col min="47" max="47" width="7.83203125" bestFit="1" customWidth="1"/>
    <col min="48" max="48" width="13.1640625" bestFit="1" customWidth="1"/>
    <col min="49" max="49" width="7.83203125" bestFit="1" customWidth="1"/>
    <col min="50" max="50" width="7.1640625" bestFit="1" customWidth="1"/>
    <col min="51" max="51" width="12.5" bestFit="1" customWidth="1"/>
    <col min="52" max="52" width="5.6640625" bestFit="1" customWidth="1"/>
    <col min="53" max="53" width="21.33203125" bestFit="1" customWidth="1"/>
    <col min="54" max="54" width="6" bestFit="1" customWidth="1"/>
    <col min="55" max="55" width="5.5" bestFit="1" customWidth="1"/>
    <col min="56" max="56" width="38" bestFit="1" customWidth="1"/>
    <col min="57" max="57" width="12.5" bestFit="1" customWidth="1"/>
    <col min="58" max="58" width="9.1640625" bestFit="1" customWidth="1"/>
    <col min="59" max="59" width="11" bestFit="1" customWidth="1"/>
    <col min="62" max="62" width="18.5" bestFit="1" customWidth="1"/>
    <col min="63" max="63" width="14" bestFit="1" customWidth="1"/>
    <col min="64" max="64" width="13.1640625" bestFit="1" customWidth="1"/>
    <col min="65" max="65" width="13" bestFit="1" customWidth="1"/>
    <col min="66" max="66" width="10.1640625" bestFit="1" customWidth="1"/>
    <col min="67" max="67" width="27.6640625" bestFit="1" customWidth="1"/>
    <col min="68" max="68" width="10.83203125" bestFit="1" customWidth="1"/>
    <col min="69" max="69" width="6.6640625" bestFit="1" customWidth="1"/>
    <col min="70" max="70" width="17.83203125" bestFit="1" customWidth="1"/>
    <col min="71" max="71" width="14.5" bestFit="1" customWidth="1"/>
    <col min="72" max="72" width="8.83203125" bestFit="1" customWidth="1"/>
    <col min="73" max="73" width="25.83203125" bestFit="1" customWidth="1"/>
    <col min="74" max="74" width="10.83203125" bestFit="1" customWidth="1"/>
    <col min="75" max="75" width="11.33203125" bestFit="1" customWidth="1"/>
    <col min="77" max="77" width="10" bestFit="1" customWidth="1"/>
    <col min="78" max="78" width="13.33203125" bestFit="1" customWidth="1"/>
    <col min="79" max="79" width="12.6640625" bestFit="1" customWidth="1"/>
    <col min="80" max="80" width="12.5" bestFit="1" customWidth="1"/>
    <col min="81" max="81" width="14.5" bestFit="1" customWidth="1"/>
    <col min="82" max="82" width="11.83203125" bestFit="1" customWidth="1"/>
    <col min="83" max="83" width="8.83203125" bestFit="1" customWidth="1"/>
    <col min="84" max="84" width="10.1640625" bestFit="1" customWidth="1"/>
    <col min="85" max="85" width="13.6640625" bestFit="1" customWidth="1"/>
    <col min="86" max="86" width="12.5" bestFit="1" customWidth="1"/>
    <col min="87" max="87" width="9.33203125" bestFit="1" customWidth="1"/>
    <col min="88" max="88" width="9" bestFit="1" customWidth="1"/>
    <col min="89" max="89" width="12.33203125" bestFit="1" customWidth="1"/>
    <col min="90" max="90" width="11.83203125" bestFit="1" customWidth="1"/>
    <col min="91" max="91" width="17.1640625" bestFit="1" customWidth="1"/>
    <col min="92" max="92" width="9.83203125" bestFit="1" customWidth="1"/>
    <col min="93" max="93" width="12.1640625" bestFit="1" customWidth="1"/>
    <col min="94" max="94" width="9.1640625" bestFit="1" customWidth="1"/>
    <col min="95" max="95" width="11.1640625" bestFit="1" customWidth="1"/>
    <col min="96" max="96" width="8.5" bestFit="1" customWidth="1"/>
    <col min="97" max="97" width="10.6640625" bestFit="1" customWidth="1"/>
    <col min="98" max="98" width="9.5" bestFit="1" customWidth="1"/>
    <col min="99" max="99" width="16.6640625" bestFit="1" customWidth="1"/>
    <col min="100" max="100" width="10" bestFit="1" customWidth="1"/>
    <col min="101" max="101" width="22.5" bestFit="1" customWidth="1"/>
    <col min="102" max="102" width="15.5" bestFit="1" customWidth="1"/>
    <col min="103" max="103" width="12.83203125" bestFit="1" customWidth="1"/>
    <col min="104" max="104" width="9.33203125" bestFit="1" customWidth="1"/>
    <col min="105" max="105" width="10.33203125" bestFit="1" customWidth="1"/>
    <col min="106" max="106" width="10.5" bestFit="1" customWidth="1"/>
    <col min="107" max="107" width="11" bestFit="1" customWidth="1"/>
    <col min="108" max="108" width="12.5" bestFit="1" customWidth="1"/>
  </cols>
  <sheetData>
    <row r="3" spans="1:2" x14ac:dyDescent="0.2">
      <c r="A3" s="18" t="s">
        <v>332</v>
      </c>
      <c r="B3" t="s">
        <v>333</v>
      </c>
    </row>
    <row r="4" spans="1:2" x14ac:dyDescent="0.2">
      <c r="A4" s="18" t="s">
        <v>379</v>
      </c>
      <c r="B4" t="s">
        <v>378</v>
      </c>
    </row>
    <row r="6" spans="1:2" x14ac:dyDescent="0.2">
      <c r="A6" s="18" t="s">
        <v>376</v>
      </c>
      <c r="B6" t="s">
        <v>385</v>
      </c>
    </row>
    <row r="7" spans="1:2" x14ac:dyDescent="0.2">
      <c r="A7" s="19" t="s">
        <v>127</v>
      </c>
      <c r="B7">
        <v>16</v>
      </c>
    </row>
    <row r="8" spans="1:2" x14ac:dyDescent="0.2">
      <c r="A8" s="20" t="s">
        <v>17</v>
      </c>
      <c r="B8">
        <v>11</v>
      </c>
    </row>
    <row r="9" spans="1:2" x14ac:dyDescent="0.2">
      <c r="A9" s="21" t="s">
        <v>338</v>
      </c>
      <c r="B9">
        <v>11</v>
      </c>
    </row>
    <row r="10" spans="1:2" x14ac:dyDescent="0.2">
      <c r="A10" s="22" t="s">
        <v>19</v>
      </c>
      <c r="B10">
        <v>11</v>
      </c>
    </row>
    <row r="11" spans="1:2" x14ac:dyDescent="0.2">
      <c r="A11" s="26" t="s">
        <v>18</v>
      </c>
      <c r="B11">
        <v>11</v>
      </c>
    </row>
    <row r="12" spans="1:2" x14ac:dyDescent="0.2">
      <c r="A12" s="20" t="s">
        <v>104</v>
      </c>
      <c r="B12">
        <v>16</v>
      </c>
    </row>
    <row r="13" spans="1:2" x14ac:dyDescent="0.2">
      <c r="A13" s="21" t="s">
        <v>350</v>
      </c>
      <c r="B13">
        <v>16</v>
      </c>
    </row>
    <row r="14" spans="1:2" x14ac:dyDescent="0.2">
      <c r="A14" s="22" t="s">
        <v>19</v>
      </c>
      <c r="B14">
        <v>16</v>
      </c>
    </row>
    <row r="15" spans="1:2" x14ac:dyDescent="0.2">
      <c r="A15" s="26" t="s">
        <v>59</v>
      </c>
      <c r="B15">
        <v>16</v>
      </c>
    </row>
    <row r="16" spans="1:2" x14ac:dyDescent="0.2">
      <c r="A16" s="21" t="s">
        <v>359</v>
      </c>
      <c r="B16">
        <v>11</v>
      </c>
    </row>
    <row r="17" spans="1:2" x14ac:dyDescent="0.2">
      <c r="A17" s="22" t="s">
        <v>80</v>
      </c>
      <c r="B17">
        <v>11</v>
      </c>
    </row>
    <row r="18" spans="1:2" x14ac:dyDescent="0.2">
      <c r="A18" s="26" t="s">
        <v>6</v>
      </c>
      <c r="B18">
        <v>11</v>
      </c>
    </row>
    <row r="19" spans="1:2" x14ac:dyDescent="0.2">
      <c r="A19" s="20" t="s">
        <v>93</v>
      </c>
      <c r="B19">
        <v>3.5</v>
      </c>
    </row>
    <row r="20" spans="1:2" x14ac:dyDescent="0.2">
      <c r="A20" s="21" t="s">
        <v>369</v>
      </c>
      <c r="B20">
        <v>3.5</v>
      </c>
    </row>
    <row r="21" spans="1:2" x14ac:dyDescent="0.2">
      <c r="A21" s="22" t="s">
        <v>95</v>
      </c>
      <c r="B21">
        <v>3.5</v>
      </c>
    </row>
    <row r="22" spans="1:2" x14ac:dyDescent="0.2">
      <c r="A22" s="26" t="s">
        <v>94</v>
      </c>
      <c r="B22">
        <v>3.5</v>
      </c>
    </row>
    <row r="23" spans="1:2" x14ac:dyDescent="0.2">
      <c r="A23" s="19" t="s">
        <v>14</v>
      </c>
      <c r="B23">
        <v>20</v>
      </c>
    </row>
    <row r="24" spans="1:2" x14ac:dyDescent="0.2">
      <c r="A24" s="20" t="s">
        <v>126</v>
      </c>
      <c r="B24">
        <v>20</v>
      </c>
    </row>
    <row r="25" spans="1:2" x14ac:dyDescent="0.2">
      <c r="A25" s="21" t="s">
        <v>352</v>
      </c>
      <c r="B25">
        <v>20</v>
      </c>
    </row>
    <row r="26" spans="1:2" x14ac:dyDescent="0.2">
      <c r="A26" s="22" t="s">
        <v>64</v>
      </c>
      <c r="B26">
        <v>20</v>
      </c>
    </row>
    <row r="27" spans="1:2" x14ac:dyDescent="0.2">
      <c r="A27" s="26" t="s">
        <v>63</v>
      </c>
      <c r="B27">
        <v>20</v>
      </c>
    </row>
    <row r="28" spans="1:2" x14ac:dyDescent="0.2">
      <c r="A28" s="20" t="s">
        <v>99</v>
      </c>
      <c r="B28">
        <v>18</v>
      </c>
    </row>
    <row r="29" spans="1:2" x14ac:dyDescent="0.2">
      <c r="A29" s="21" t="s">
        <v>372</v>
      </c>
      <c r="B29">
        <v>18</v>
      </c>
    </row>
    <row r="30" spans="1:2" x14ac:dyDescent="0.2">
      <c r="A30" s="22" t="s">
        <v>27</v>
      </c>
      <c r="B30">
        <v>18</v>
      </c>
    </row>
    <row r="31" spans="1:2" x14ac:dyDescent="0.2">
      <c r="A31" s="26" t="s">
        <v>26</v>
      </c>
      <c r="B31">
        <v>18</v>
      </c>
    </row>
    <row r="32" spans="1:2" x14ac:dyDescent="0.2">
      <c r="A32" s="20" t="s">
        <v>105</v>
      </c>
      <c r="B32">
        <v>20</v>
      </c>
    </row>
    <row r="33" spans="1:2" x14ac:dyDescent="0.2">
      <c r="A33" s="21" t="s">
        <v>351</v>
      </c>
      <c r="B33">
        <v>20</v>
      </c>
    </row>
    <row r="34" spans="1:2" x14ac:dyDescent="0.2">
      <c r="A34" s="22" t="s">
        <v>61</v>
      </c>
      <c r="B34">
        <v>20</v>
      </c>
    </row>
    <row r="35" spans="1:2" x14ac:dyDescent="0.2">
      <c r="A35" s="26" t="s">
        <v>60</v>
      </c>
      <c r="B35">
        <v>20</v>
      </c>
    </row>
    <row r="36" spans="1:2" x14ac:dyDescent="0.2">
      <c r="A36" s="20" t="s">
        <v>13</v>
      </c>
      <c r="B36">
        <v>8</v>
      </c>
    </row>
    <row r="37" spans="1:2" x14ac:dyDescent="0.2">
      <c r="A37" s="21" t="s">
        <v>337</v>
      </c>
      <c r="B37">
        <v>8</v>
      </c>
    </row>
    <row r="38" spans="1:2" x14ac:dyDescent="0.2">
      <c r="A38" s="22" t="s">
        <v>15</v>
      </c>
      <c r="B38">
        <v>8</v>
      </c>
    </row>
    <row r="39" spans="1:2" x14ac:dyDescent="0.2">
      <c r="A39" s="26" t="s">
        <v>6</v>
      </c>
      <c r="B39">
        <v>8</v>
      </c>
    </row>
    <row r="40" spans="1:2" x14ac:dyDescent="0.2">
      <c r="A40" s="20" t="s">
        <v>125</v>
      </c>
      <c r="B40">
        <v>20</v>
      </c>
    </row>
    <row r="41" spans="1:2" x14ac:dyDescent="0.2">
      <c r="A41" s="21" t="s">
        <v>341</v>
      </c>
      <c r="B41">
        <v>17</v>
      </c>
    </row>
    <row r="42" spans="1:2" x14ac:dyDescent="0.2">
      <c r="A42" s="22" t="s">
        <v>27</v>
      </c>
      <c r="B42">
        <v>17</v>
      </c>
    </row>
    <row r="43" spans="1:2" x14ac:dyDescent="0.2">
      <c r="A43" s="26" t="s">
        <v>26</v>
      </c>
      <c r="B43">
        <v>17</v>
      </c>
    </row>
    <row r="44" spans="1:2" x14ac:dyDescent="0.2">
      <c r="A44" s="21" t="s">
        <v>347</v>
      </c>
      <c r="B44">
        <v>20</v>
      </c>
    </row>
    <row r="45" spans="1:2" x14ac:dyDescent="0.2">
      <c r="A45" s="22" t="s">
        <v>15</v>
      </c>
      <c r="B45">
        <v>20</v>
      </c>
    </row>
    <row r="46" spans="1:2" x14ac:dyDescent="0.2">
      <c r="A46" s="26" t="s">
        <v>53</v>
      </c>
      <c r="B46">
        <v>20</v>
      </c>
    </row>
    <row r="47" spans="1:2" x14ac:dyDescent="0.2">
      <c r="A47" s="20" t="s">
        <v>108</v>
      </c>
      <c r="B47">
        <v>18</v>
      </c>
    </row>
    <row r="48" spans="1:2" x14ac:dyDescent="0.2">
      <c r="A48" s="21" t="s">
        <v>357</v>
      </c>
      <c r="B48">
        <v>18</v>
      </c>
    </row>
    <row r="49" spans="1:2" x14ac:dyDescent="0.2">
      <c r="A49" s="22" t="s">
        <v>75</v>
      </c>
      <c r="B49">
        <v>18</v>
      </c>
    </row>
    <row r="50" spans="1:2" x14ac:dyDescent="0.2">
      <c r="A50" s="26" t="s">
        <v>6</v>
      </c>
      <c r="B50">
        <v>18</v>
      </c>
    </row>
    <row r="51" spans="1:2" x14ac:dyDescent="0.2">
      <c r="A51" s="19" t="s">
        <v>55</v>
      </c>
      <c r="B51">
        <v>29</v>
      </c>
    </row>
    <row r="52" spans="1:2" x14ac:dyDescent="0.2">
      <c r="A52" s="20" t="s">
        <v>115</v>
      </c>
      <c r="B52">
        <v>19</v>
      </c>
    </row>
    <row r="53" spans="1:2" x14ac:dyDescent="0.2">
      <c r="A53" s="21" t="s">
        <v>374</v>
      </c>
      <c r="B53">
        <v>19</v>
      </c>
    </row>
    <row r="54" spans="1:2" x14ac:dyDescent="0.2">
      <c r="A54" s="22" t="s">
        <v>101</v>
      </c>
      <c r="B54">
        <v>19</v>
      </c>
    </row>
    <row r="55" spans="1:2" x14ac:dyDescent="0.2">
      <c r="A55" s="26" t="s">
        <v>85</v>
      </c>
      <c r="B55">
        <v>19</v>
      </c>
    </row>
    <row r="56" spans="1:2" x14ac:dyDescent="0.2">
      <c r="A56" s="20" t="s">
        <v>109</v>
      </c>
      <c r="B56">
        <v>29</v>
      </c>
    </row>
    <row r="57" spans="1:2" x14ac:dyDescent="0.2">
      <c r="A57" s="21" t="s">
        <v>363</v>
      </c>
      <c r="B57">
        <v>29</v>
      </c>
    </row>
    <row r="58" spans="1:2" x14ac:dyDescent="0.2">
      <c r="A58" s="22" t="s">
        <v>135</v>
      </c>
      <c r="B58">
        <v>29</v>
      </c>
    </row>
    <row r="59" spans="1:2" x14ac:dyDescent="0.2">
      <c r="A59" s="26" t="s">
        <v>63</v>
      </c>
      <c r="B59">
        <v>29</v>
      </c>
    </row>
    <row r="60" spans="1:2" x14ac:dyDescent="0.2">
      <c r="A60" s="20" t="s">
        <v>54</v>
      </c>
      <c r="B60">
        <v>15</v>
      </c>
    </row>
    <row r="61" spans="1:2" x14ac:dyDescent="0.2">
      <c r="A61" s="21" t="s">
        <v>348</v>
      </c>
      <c r="B61">
        <v>15</v>
      </c>
    </row>
    <row r="62" spans="1:2" x14ac:dyDescent="0.2">
      <c r="A62" s="22" t="s">
        <v>55</v>
      </c>
      <c r="B62">
        <v>15</v>
      </c>
    </row>
    <row r="63" spans="1:2" x14ac:dyDescent="0.2">
      <c r="A63" s="26" t="s">
        <v>26</v>
      </c>
      <c r="B63">
        <v>15</v>
      </c>
    </row>
    <row r="64" spans="1:2" x14ac:dyDescent="0.2">
      <c r="A64" s="20" t="s">
        <v>108</v>
      </c>
      <c r="B64">
        <v>20</v>
      </c>
    </row>
    <row r="65" spans="1:2" x14ac:dyDescent="0.2">
      <c r="A65" s="21" t="s">
        <v>371</v>
      </c>
      <c r="B65">
        <v>20</v>
      </c>
    </row>
    <row r="66" spans="1:2" x14ac:dyDescent="0.2">
      <c r="A66" s="22" t="s">
        <v>98</v>
      </c>
      <c r="B66">
        <v>20</v>
      </c>
    </row>
    <row r="67" spans="1:2" x14ac:dyDescent="0.2">
      <c r="A67" s="26" t="s">
        <v>6</v>
      </c>
      <c r="B67">
        <v>20</v>
      </c>
    </row>
    <row r="68" spans="1:2" x14ac:dyDescent="0.2">
      <c r="A68" s="19" t="s">
        <v>66</v>
      </c>
    </row>
    <row r="69" spans="1:2" x14ac:dyDescent="0.2">
      <c r="A69" s="20" t="s">
        <v>111</v>
      </c>
    </row>
    <row r="70" spans="1:2" x14ac:dyDescent="0.2">
      <c r="A70" s="21" t="s">
        <v>353</v>
      </c>
    </row>
    <row r="71" spans="1:2" x14ac:dyDescent="0.2">
      <c r="A71" s="22" t="s">
        <v>67</v>
      </c>
    </row>
    <row r="72" spans="1:2" x14ac:dyDescent="0.2">
      <c r="A72" s="26" t="s">
        <v>65</v>
      </c>
    </row>
    <row r="73" spans="1:2" x14ac:dyDescent="0.2">
      <c r="A73" s="19" t="s">
        <v>47</v>
      </c>
      <c r="B73">
        <v>40</v>
      </c>
    </row>
    <row r="74" spans="1:2" x14ac:dyDescent="0.2">
      <c r="A74" s="20" t="s">
        <v>57</v>
      </c>
      <c r="B74">
        <v>20</v>
      </c>
    </row>
    <row r="75" spans="1:2" x14ac:dyDescent="0.2">
      <c r="A75" s="21" t="s">
        <v>349</v>
      </c>
      <c r="B75">
        <v>20</v>
      </c>
    </row>
    <row r="76" spans="1:2" x14ac:dyDescent="0.2">
      <c r="A76" s="22" t="s">
        <v>133</v>
      </c>
      <c r="B76">
        <v>20</v>
      </c>
    </row>
    <row r="77" spans="1:2" x14ac:dyDescent="0.2">
      <c r="A77" s="26" t="s">
        <v>58</v>
      </c>
      <c r="B77">
        <v>20</v>
      </c>
    </row>
    <row r="78" spans="1:2" x14ac:dyDescent="0.2">
      <c r="A78" s="20" t="s">
        <v>45</v>
      </c>
      <c r="B78">
        <v>20</v>
      </c>
    </row>
    <row r="79" spans="1:2" x14ac:dyDescent="0.2">
      <c r="A79" s="21" t="s">
        <v>345</v>
      </c>
      <c r="B79">
        <v>19</v>
      </c>
    </row>
    <row r="80" spans="1:2" x14ac:dyDescent="0.2">
      <c r="A80" s="22" t="s">
        <v>133</v>
      </c>
      <c r="B80">
        <v>19</v>
      </c>
    </row>
    <row r="81" spans="1:2" x14ac:dyDescent="0.2">
      <c r="A81" s="26" t="s">
        <v>46</v>
      </c>
      <c r="B81">
        <v>19</v>
      </c>
    </row>
    <row r="82" spans="1:2" x14ac:dyDescent="0.2">
      <c r="A82" s="21" t="s">
        <v>373</v>
      </c>
      <c r="B82">
        <v>20</v>
      </c>
    </row>
    <row r="83" spans="1:2" x14ac:dyDescent="0.2">
      <c r="A83" s="22" t="s">
        <v>47</v>
      </c>
      <c r="B83">
        <v>20</v>
      </c>
    </row>
    <row r="84" spans="1:2" x14ac:dyDescent="0.2">
      <c r="A84" s="26" t="s">
        <v>46</v>
      </c>
      <c r="B84">
        <v>20</v>
      </c>
    </row>
    <row r="85" spans="1:2" x14ac:dyDescent="0.2">
      <c r="A85" s="20" t="s">
        <v>106</v>
      </c>
      <c r="B85">
        <v>40</v>
      </c>
    </row>
    <row r="86" spans="1:2" x14ac:dyDescent="0.2">
      <c r="A86" s="21" t="s">
        <v>355</v>
      </c>
      <c r="B86">
        <v>40</v>
      </c>
    </row>
    <row r="87" spans="1:2" x14ac:dyDescent="0.2">
      <c r="A87" s="22" t="s">
        <v>70</v>
      </c>
      <c r="B87">
        <v>40</v>
      </c>
    </row>
    <row r="88" spans="1:2" x14ac:dyDescent="0.2">
      <c r="A88" s="26" t="s">
        <v>6</v>
      </c>
      <c r="B88">
        <v>40</v>
      </c>
    </row>
    <row r="89" spans="1:2" x14ac:dyDescent="0.2">
      <c r="A89" s="20" t="s">
        <v>108</v>
      </c>
      <c r="B89">
        <v>25</v>
      </c>
    </row>
    <row r="90" spans="1:2" x14ac:dyDescent="0.2">
      <c r="A90" s="21" t="s">
        <v>360</v>
      </c>
      <c r="B90">
        <v>25</v>
      </c>
    </row>
    <row r="91" spans="1:2" x14ac:dyDescent="0.2">
      <c r="A91" s="22" t="s">
        <v>47</v>
      </c>
      <c r="B91">
        <v>25</v>
      </c>
    </row>
    <row r="92" spans="1:2" x14ac:dyDescent="0.2">
      <c r="A92" s="26" t="s">
        <v>6</v>
      </c>
      <c r="B92">
        <v>25</v>
      </c>
    </row>
    <row r="93" spans="1:2" x14ac:dyDescent="0.2">
      <c r="A93" s="19" t="s">
        <v>38</v>
      </c>
      <c r="B93">
        <v>25</v>
      </c>
    </row>
    <row r="94" spans="1:2" x14ac:dyDescent="0.2">
      <c r="A94" s="20" t="s">
        <v>112</v>
      </c>
      <c r="B94">
        <v>25</v>
      </c>
    </row>
    <row r="95" spans="1:2" x14ac:dyDescent="0.2">
      <c r="A95" s="21" t="s">
        <v>354</v>
      </c>
      <c r="B95">
        <v>25</v>
      </c>
    </row>
    <row r="96" spans="1:2" x14ac:dyDescent="0.2">
      <c r="A96" s="22" t="s">
        <v>69</v>
      </c>
      <c r="B96">
        <v>25</v>
      </c>
    </row>
    <row r="97" spans="1:2" x14ac:dyDescent="0.2">
      <c r="A97" s="26" t="s">
        <v>6</v>
      </c>
      <c r="B97">
        <v>25</v>
      </c>
    </row>
    <row r="98" spans="1:2" x14ac:dyDescent="0.2">
      <c r="A98" s="20" t="s">
        <v>113</v>
      </c>
      <c r="B98">
        <v>17</v>
      </c>
    </row>
    <row r="99" spans="1:2" x14ac:dyDescent="0.2">
      <c r="A99" s="21" t="s">
        <v>365</v>
      </c>
      <c r="B99">
        <v>17</v>
      </c>
    </row>
    <row r="100" spans="1:2" x14ac:dyDescent="0.2">
      <c r="A100" s="22" t="s">
        <v>69</v>
      </c>
      <c r="B100">
        <v>17</v>
      </c>
    </row>
    <row r="101" spans="1:2" x14ac:dyDescent="0.2">
      <c r="A101" s="26" t="s">
        <v>6</v>
      </c>
      <c r="B101">
        <v>17</v>
      </c>
    </row>
    <row r="102" spans="1:2" x14ac:dyDescent="0.2">
      <c r="A102" s="20" t="s">
        <v>36</v>
      </c>
      <c r="B102">
        <v>6</v>
      </c>
    </row>
    <row r="103" spans="1:2" x14ac:dyDescent="0.2">
      <c r="A103" s="21" t="s">
        <v>344</v>
      </c>
      <c r="B103">
        <v>6</v>
      </c>
    </row>
    <row r="104" spans="1:2" x14ac:dyDescent="0.2">
      <c r="A104" s="22" t="s">
        <v>39</v>
      </c>
      <c r="B104">
        <v>6</v>
      </c>
    </row>
    <row r="105" spans="1:2" x14ac:dyDescent="0.2">
      <c r="A105" s="26" t="s">
        <v>37</v>
      </c>
      <c r="B105">
        <v>6</v>
      </c>
    </row>
    <row r="106" spans="1:2" x14ac:dyDescent="0.2">
      <c r="A106" s="19" t="s">
        <v>10</v>
      </c>
      <c r="B106">
        <v>16</v>
      </c>
    </row>
    <row r="107" spans="1:2" x14ac:dyDescent="0.2">
      <c r="A107" s="20" t="s">
        <v>9</v>
      </c>
      <c r="B107">
        <v>16</v>
      </c>
    </row>
    <row r="108" spans="1:2" x14ac:dyDescent="0.2">
      <c r="A108" s="21" t="s">
        <v>336</v>
      </c>
      <c r="B108">
        <v>16</v>
      </c>
    </row>
    <row r="109" spans="1:2" x14ac:dyDescent="0.2">
      <c r="A109" s="22" t="s">
        <v>11</v>
      </c>
      <c r="B109">
        <v>16</v>
      </c>
    </row>
    <row r="110" spans="1:2" x14ac:dyDescent="0.2">
      <c r="A110" s="26" t="s">
        <v>63</v>
      </c>
      <c r="B110">
        <v>16</v>
      </c>
    </row>
    <row r="111" spans="1:2" x14ac:dyDescent="0.2">
      <c r="A111" s="19" t="s">
        <v>129</v>
      </c>
      <c r="B111">
        <v>25</v>
      </c>
    </row>
    <row r="112" spans="1:2" x14ac:dyDescent="0.2">
      <c r="A112" s="20" t="s">
        <v>29</v>
      </c>
      <c r="B112">
        <v>10</v>
      </c>
    </row>
    <row r="113" spans="1:2" x14ac:dyDescent="0.2">
      <c r="A113" s="21" t="s">
        <v>342</v>
      </c>
      <c r="B113">
        <v>10</v>
      </c>
    </row>
    <row r="114" spans="1:2" x14ac:dyDescent="0.2">
      <c r="A114" s="22" t="s">
        <v>24</v>
      </c>
      <c r="B114">
        <v>10</v>
      </c>
    </row>
    <row r="115" spans="1:2" x14ac:dyDescent="0.2">
      <c r="A115" s="26" t="s">
        <v>30</v>
      </c>
      <c r="B115">
        <v>10</v>
      </c>
    </row>
    <row r="116" spans="1:2" x14ac:dyDescent="0.2">
      <c r="A116" s="20" t="s">
        <v>103</v>
      </c>
      <c r="B116">
        <v>25</v>
      </c>
    </row>
    <row r="117" spans="1:2" x14ac:dyDescent="0.2">
      <c r="A117" s="21" t="s">
        <v>340</v>
      </c>
      <c r="B117">
        <v>25</v>
      </c>
    </row>
    <row r="118" spans="1:2" x14ac:dyDescent="0.2">
      <c r="A118" s="22" t="s">
        <v>24</v>
      </c>
      <c r="B118">
        <v>25</v>
      </c>
    </row>
    <row r="119" spans="1:2" x14ac:dyDescent="0.2">
      <c r="A119" s="26" t="s">
        <v>6</v>
      </c>
      <c r="B119">
        <v>25</v>
      </c>
    </row>
    <row r="120" spans="1:2" x14ac:dyDescent="0.2">
      <c r="A120" s="20" t="s">
        <v>104</v>
      </c>
      <c r="B120">
        <v>15</v>
      </c>
    </row>
    <row r="121" spans="1:2" x14ac:dyDescent="0.2">
      <c r="A121" s="21" t="s">
        <v>370</v>
      </c>
      <c r="B121">
        <v>15</v>
      </c>
    </row>
    <row r="122" spans="1:2" x14ac:dyDescent="0.2">
      <c r="A122" s="22" t="s">
        <v>129</v>
      </c>
      <c r="B122">
        <v>15</v>
      </c>
    </row>
    <row r="123" spans="1:2" x14ac:dyDescent="0.2">
      <c r="A123" s="26" t="s">
        <v>33</v>
      </c>
      <c r="B123">
        <v>15</v>
      </c>
    </row>
    <row r="124" spans="1:2" x14ac:dyDescent="0.2">
      <c r="A124" s="19" t="s">
        <v>22</v>
      </c>
      <c r="B124">
        <v>22</v>
      </c>
    </row>
    <row r="125" spans="1:2" x14ac:dyDescent="0.2">
      <c r="A125" s="20" t="s">
        <v>110</v>
      </c>
      <c r="B125">
        <v>22</v>
      </c>
    </row>
    <row r="126" spans="1:2" x14ac:dyDescent="0.2">
      <c r="A126" s="21" t="s">
        <v>339</v>
      </c>
      <c r="B126">
        <v>22</v>
      </c>
    </row>
    <row r="127" spans="1:2" x14ac:dyDescent="0.2">
      <c r="A127" s="22" t="s">
        <v>23</v>
      </c>
      <c r="B127">
        <v>22</v>
      </c>
    </row>
    <row r="128" spans="1:2" x14ac:dyDescent="0.2">
      <c r="A128" s="26" t="s">
        <v>21</v>
      </c>
      <c r="B128">
        <v>22</v>
      </c>
    </row>
    <row r="129" spans="1:2" x14ac:dyDescent="0.2">
      <c r="A129" s="19" t="s">
        <v>72</v>
      </c>
      <c r="B129">
        <v>30</v>
      </c>
    </row>
    <row r="130" spans="1:2" x14ac:dyDescent="0.2">
      <c r="A130" s="20" t="s">
        <v>87</v>
      </c>
      <c r="B130">
        <v>30</v>
      </c>
    </row>
    <row r="131" spans="1:2" x14ac:dyDescent="0.2">
      <c r="A131" s="21" t="s">
        <v>366</v>
      </c>
      <c r="B131">
        <v>30</v>
      </c>
    </row>
    <row r="132" spans="1:2" x14ac:dyDescent="0.2">
      <c r="A132" s="22" t="s">
        <v>73</v>
      </c>
      <c r="B132">
        <v>30</v>
      </c>
    </row>
    <row r="133" spans="1:2" x14ac:dyDescent="0.2">
      <c r="A133" s="26" t="s">
        <v>26</v>
      </c>
      <c r="B133">
        <v>30</v>
      </c>
    </row>
    <row r="134" spans="1:2" x14ac:dyDescent="0.2">
      <c r="A134" s="20" t="s">
        <v>114</v>
      </c>
      <c r="B134">
        <v>10</v>
      </c>
    </row>
    <row r="135" spans="1:2" x14ac:dyDescent="0.2">
      <c r="A135" s="21" t="s">
        <v>368</v>
      </c>
      <c r="B135">
        <v>10</v>
      </c>
    </row>
    <row r="136" spans="1:2" x14ac:dyDescent="0.2">
      <c r="A136" s="22" t="s">
        <v>130</v>
      </c>
      <c r="B136">
        <v>10</v>
      </c>
    </row>
    <row r="137" spans="1:2" x14ac:dyDescent="0.2">
      <c r="A137" s="26" t="s">
        <v>65</v>
      </c>
      <c r="B137">
        <v>10</v>
      </c>
    </row>
    <row r="138" spans="1:2" x14ac:dyDescent="0.2">
      <c r="A138" s="20" t="s">
        <v>107</v>
      </c>
      <c r="B138">
        <v>22</v>
      </c>
    </row>
    <row r="139" spans="1:2" x14ac:dyDescent="0.2">
      <c r="A139" s="21" t="s">
        <v>356</v>
      </c>
      <c r="B139">
        <v>22</v>
      </c>
    </row>
    <row r="140" spans="1:2" x14ac:dyDescent="0.2">
      <c r="A140" s="22" t="s">
        <v>73</v>
      </c>
      <c r="B140">
        <v>22</v>
      </c>
    </row>
    <row r="141" spans="1:2" x14ac:dyDescent="0.2">
      <c r="A141" s="26" t="s">
        <v>60</v>
      </c>
      <c r="B141">
        <v>22</v>
      </c>
    </row>
    <row r="142" spans="1:2" x14ac:dyDescent="0.2">
      <c r="A142" s="19" t="s">
        <v>377</v>
      </c>
      <c r="B14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A9DC-900F-4865-ACD0-255BF8BDF974}">
  <dimension ref="A1:N68"/>
  <sheetViews>
    <sheetView showGridLines="0" topLeftCell="A17" zoomScale="110" zoomScaleNormal="110" workbookViewId="0">
      <selection activeCell="E48" sqref="E48"/>
    </sheetView>
  </sheetViews>
  <sheetFormatPr baseColWidth="10" defaultRowHeight="15" x14ac:dyDescent="0.2"/>
  <cols>
    <col min="2" max="2" width="35" bestFit="1" customWidth="1"/>
    <col min="3" max="3" width="48.6640625" bestFit="1" customWidth="1"/>
    <col min="4" max="4" width="30.83203125" bestFit="1" customWidth="1"/>
    <col min="5" max="5" width="10.5" bestFit="1" customWidth="1"/>
    <col min="6" max="6" width="23.83203125" customWidth="1"/>
    <col min="7" max="7" width="43.5" bestFit="1" customWidth="1"/>
    <col min="8" max="8" width="14" bestFit="1" customWidth="1"/>
    <col min="9" max="9" width="15.33203125" hidden="1" customWidth="1"/>
    <col min="10" max="10" width="13.33203125" hidden="1" customWidth="1"/>
    <col min="11" max="11" width="16.1640625" bestFit="1" customWidth="1"/>
    <col min="12" max="12" width="26.5" bestFit="1" customWidth="1"/>
    <col min="13" max="13" width="14" bestFit="1" customWidth="1"/>
  </cols>
  <sheetData>
    <row r="1" spans="1:14" x14ac:dyDescent="0.2">
      <c r="A1" s="1" t="s">
        <v>330</v>
      </c>
      <c r="B1" s="1" t="s">
        <v>332</v>
      </c>
      <c r="C1" s="1" t="s">
        <v>331</v>
      </c>
      <c r="D1" s="1" t="s">
        <v>0</v>
      </c>
      <c r="E1" s="1" t="s">
        <v>128</v>
      </c>
      <c r="F1" s="1" t="s">
        <v>2</v>
      </c>
      <c r="G1" s="1" t="s">
        <v>3</v>
      </c>
      <c r="H1" s="2" t="s">
        <v>1</v>
      </c>
      <c r="I1" s="3" t="s">
        <v>4</v>
      </c>
      <c r="J1" s="3" t="s">
        <v>5</v>
      </c>
      <c r="K1" s="3" t="s">
        <v>384</v>
      </c>
      <c r="L1" s="3" t="s">
        <v>379</v>
      </c>
      <c r="M1" s="3" t="s">
        <v>386</v>
      </c>
      <c r="N1" s="3" t="s">
        <v>487</v>
      </c>
    </row>
    <row r="2" spans="1:14" x14ac:dyDescent="0.2">
      <c r="A2" s="11">
        <v>2</v>
      </c>
      <c r="B2" s="12" t="s">
        <v>333</v>
      </c>
      <c r="C2" s="5" t="s">
        <v>9</v>
      </c>
      <c r="D2" s="15" t="s">
        <v>336</v>
      </c>
      <c r="E2" s="11" t="s">
        <v>10</v>
      </c>
      <c r="F2" s="11" t="s">
        <v>11</v>
      </c>
      <c r="G2" s="11" t="s">
        <v>12</v>
      </c>
      <c r="H2" s="13" t="s">
        <v>63</v>
      </c>
      <c r="I2" s="17">
        <v>-75.209040999999999</v>
      </c>
      <c r="J2" s="17">
        <v>-15.273638</v>
      </c>
      <c r="K2" s="23">
        <v>16</v>
      </c>
      <c r="L2" s="14" t="s">
        <v>381</v>
      </c>
      <c r="M2" t="s">
        <v>389</v>
      </c>
    </row>
    <row r="3" spans="1:14" x14ac:dyDescent="0.2">
      <c r="A3" s="11">
        <v>3</v>
      </c>
      <c r="B3" s="12" t="s">
        <v>333</v>
      </c>
      <c r="C3" s="5" t="s">
        <v>13</v>
      </c>
      <c r="D3" s="15" t="s">
        <v>337</v>
      </c>
      <c r="E3" s="11" t="s">
        <v>14</v>
      </c>
      <c r="F3" s="11" t="s">
        <v>15</v>
      </c>
      <c r="G3" s="11" t="s">
        <v>16</v>
      </c>
      <c r="H3" s="13" t="s">
        <v>6</v>
      </c>
      <c r="I3" s="17">
        <v>-72.295721</v>
      </c>
      <c r="J3" s="17">
        <v>-14.060765</v>
      </c>
      <c r="K3" s="23">
        <v>8</v>
      </c>
      <c r="L3" s="14" t="s">
        <v>382</v>
      </c>
      <c r="M3" t="s">
        <v>387</v>
      </c>
    </row>
    <row r="4" spans="1:14" x14ac:dyDescent="0.2">
      <c r="A4" s="11">
        <v>4</v>
      </c>
      <c r="B4" s="12" t="s">
        <v>333</v>
      </c>
      <c r="C4" s="5" t="s">
        <v>17</v>
      </c>
      <c r="D4" s="15" t="s">
        <v>338</v>
      </c>
      <c r="E4" s="11" t="s">
        <v>127</v>
      </c>
      <c r="F4" s="11" t="s">
        <v>19</v>
      </c>
      <c r="G4" s="11" t="s">
        <v>20</v>
      </c>
      <c r="H4" s="13" t="s">
        <v>18</v>
      </c>
      <c r="I4" s="17">
        <v>-77.056014000000005</v>
      </c>
      <c r="J4" s="17">
        <v>-9.9501229999999996</v>
      </c>
      <c r="K4" s="23">
        <v>11</v>
      </c>
      <c r="L4" s="14" t="s">
        <v>380</v>
      </c>
      <c r="M4" t="s">
        <v>389</v>
      </c>
      <c r="N4">
        <v>116.5</v>
      </c>
    </row>
    <row r="5" spans="1:14" x14ac:dyDescent="0.2">
      <c r="A5" s="11">
        <v>5</v>
      </c>
      <c r="B5" s="12" t="s">
        <v>333</v>
      </c>
      <c r="C5" s="5" t="s">
        <v>110</v>
      </c>
      <c r="D5" s="15" t="s">
        <v>339</v>
      </c>
      <c r="E5" s="11" t="s">
        <v>22</v>
      </c>
      <c r="F5" s="11" t="s">
        <v>23</v>
      </c>
      <c r="G5" s="11" t="s">
        <v>23</v>
      </c>
      <c r="H5" s="13" t="s">
        <v>21</v>
      </c>
      <c r="I5" s="17">
        <v>-77.589112999999998</v>
      </c>
      <c r="J5" s="17">
        <v>-7.7745009999999999</v>
      </c>
      <c r="K5" s="23">
        <v>22</v>
      </c>
      <c r="L5" s="14" t="s">
        <v>380</v>
      </c>
      <c r="M5" t="s">
        <v>389</v>
      </c>
    </row>
    <row r="6" spans="1:14" x14ac:dyDescent="0.2">
      <c r="A6" s="11">
        <v>6</v>
      </c>
      <c r="B6" s="12" t="s">
        <v>333</v>
      </c>
      <c r="C6" s="5" t="s">
        <v>103</v>
      </c>
      <c r="D6" s="15" t="s">
        <v>340</v>
      </c>
      <c r="E6" s="11" t="s">
        <v>129</v>
      </c>
      <c r="F6" s="11" t="s">
        <v>24</v>
      </c>
      <c r="G6" s="11" t="s">
        <v>25</v>
      </c>
      <c r="H6" s="13" t="s">
        <v>6</v>
      </c>
      <c r="I6" s="17">
        <v>-76.143247000000002</v>
      </c>
      <c r="J6" s="17">
        <v>-11.608978</v>
      </c>
      <c r="K6" s="23">
        <v>25</v>
      </c>
      <c r="L6" s="14" t="s">
        <v>382</v>
      </c>
      <c r="M6" t="s">
        <v>389</v>
      </c>
    </row>
    <row r="7" spans="1:14" x14ac:dyDescent="0.2">
      <c r="A7" s="11">
        <v>7</v>
      </c>
      <c r="B7" s="12" t="s">
        <v>333</v>
      </c>
      <c r="C7" s="5" t="s">
        <v>125</v>
      </c>
      <c r="D7" s="15" t="s">
        <v>341</v>
      </c>
      <c r="E7" s="11" t="s">
        <v>14</v>
      </c>
      <c r="F7" s="11" t="s">
        <v>27</v>
      </c>
      <c r="G7" s="11" t="s">
        <v>28</v>
      </c>
      <c r="H7" s="13" t="s">
        <v>26</v>
      </c>
      <c r="I7" s="17">
        <v>-72.964652206699995</v>
      </c>
      <c r="J7" s="17">
        <v>-14.339387541100001</v>
      </c>
      <c r="K7" s="23">
        <v>17</v>
      </c>
      <c r="L7" s="14" t="s">
        <v>382</v>
      </c>
      <c r="M7" t="s">
        <v>387</v>
      </c>
    </row>
    <row r="8" spans="1:14" x14ac:dyDescent="0.2">
      <c r="A8" s="11">
        <v>8</v>
      </c>
      <c r="B8" s="12" t="s">
        <v>333</v>
      </c>
      <c r="C8" s="5" t="s">
        <v>29</v>
      </c>
      <c r="D8" s="15" t="s">
        <v>342</v>
      </c>
      <c r="E8" s="11" t="s">
        <v>129</v>
      </c>
      <c r="F8" s="11" t="s">
        <v>24</v>
      </c>
      <c r="G8" s="11" t="s">
        <v>31</v>
      </c>
      <c r="H8" s="13" t="s">
        <v>30</v>
      </c>
      <c r="I8" s="17">
        <v>-76.334322</v>
      </c>
      <c r="J8" s="17">
        <v>-11.487183999999999</v>
      </c>
      <c r="K8" s="23">
        <v>10</v>
      </c>
      <c r="L8" s="14" t="s">
        <v>380</v>
      </c>
      <c r="M8" t="s">
        <v>389</v>
      </c>
    </row>
    <row r="9" spans="1:14" x14ac:dyDescent="0.2">
      <c r="A9" s="11">
        <v>10</v>
      </c>
      <c r="B9" s="12" t="s">
        <v>333</v>
      </c>
      <c r="C9" s="5" t="s">
        <v>36</v>
      </c>
      <c r="D9" s="15" t="s">
        <v>344</v>
      </c>
      <c r="E9" s="11" t="s">
        <v>38</v>
      </c>
      <c r="F9" s="11" t="s">
        <v>39</v>
      </c>
      <c r="G9" s="11" t="s">
        <v>40</v>
      </c>
      <c r="H9" s="13" t="s">
        <v>37</v>
      </c>
      <c r="I9" s="17">
        <v>-71.896941999999996</v>
      </c>
      <c r="J9" s="17">
        <v>-13.971626000000001</v>
      </c>
      <c r="K9" s="24">
        <v>6</v>
      </c>
      <c r="L9" s="14" t="s">
        <v>383</v>
      </c>
      <c r="M9" t="s">
        <v>387</v>
      </c>
      <c r="N9">
        <v>345.5</v>
      </c>
    </row>
    <row r="10" spans="1:14" ht="16" x14ac:dyDescent="0.2">
      <c r="A10" s="11">
        <v>13</v>
      </c>
      <c r="B10" s="12" t="s">
        <v>333</v>
      </c>
      <c r="C10" s="5" t="s">
        <v>45</v>
      </c>
      <c r="D10" s="15" t="s">
        <v>345</v>
      </c>
      <c r="E10" s="11" t="s">
        <v>47</v>
      </c>
      <c r="F10" s="11" t="s">
        <v>133</v>
      </c>
      <c r="G10" s="6" t="s">
        <v>140</v>
      </c>
      <c r="H10" s="13" t="s">
        <v>46</v>
      </c>
      <c r="I10" s="17">
        <v>-78.368548000000004</v>
      </c>
      <c r="J10" s="17">
        <v>-6.9041439999999996</v>
      </c>
      <c r="K10" s="23">
        <v>19</v>
      </c>
      <c r="L10" s="14" t="s">
        <v>382</v>
      </c>
      <c r="M10" t="s">
        <v>389</v>
      </c>
      <c r="N10">
        <v>4800</v>
      </c>
    </row>
    <row r="11" spans="1:14" x14ac:dyDescent="0.2">
      <c r="A11" s="11">
        <v>15</v>
      </c>
      <c r="B11" s="12" t="s">
        <v>333</v>
      </c>
      <c r="C11" s="5" t="s">
        <v>125</v>
      </c>
      <c r="D11" s="15" t="s">
        <v>347</v>
      </c>
      <c r="E11" s="11" t="s">
        <v>14</v>
      </c>
      <c r="F11" s="11" t="s">
        <v>15</v>
      </c>
      <c r="G11" s="11" t="s">
        <v>15</v>
      </c>
      <c r="H11" s="13" t="s">
        <v>53</v>
      </c>
      <c r="I11" s="17">
        <v>-72.359508000000005</v>
      </c>
      <c r="J11" s="17">
        <v>-13.737256</v>
      </c>
      <c r="K11" s="23">
        <v>20</v>
      </c>
      <c r="L11" s="14" t="s">
        <v>382</v>
      </c>
      <c r="M11" t="s">
        <v>387</v>
      </c>
      <c r="N11">
        <v>1530</v>
      </c>
    </row>
    <row r="12" spans="1:14" x14ac:dyDescent="0.2">
      <c r="A12" s="11">
        <v>16</v>
      </c>
      <c r="B12" s="12" t="s">
        <v>333</v>
      </c>
      <c r="C12" s="5" t="s">
        <v>54</v>
      </c>
      <c r="D12" s="15" t="s">
        <v>348</v>
      </c>
      <c r="E12" s="11" t="s">
        <v>55</v>
      </c>
      <c r="F12" s="11" t="s">
        <v>55</v>
      </c>
      <c r="G12" s="11" t="s">
        <v>56</v>
      </c>
      <c r="H12" s="13" t="s">
        <v>26</v>
      </c>
      <c r="I12" s="17">
        <v>-71.453033000000005</v>
      </c>
      <c r="J12" s="17">
        <v>-16.622215000000001</v>
      </c>
      <c r="K12" s="25">
        <v>15</v>
      </c>
      <c r="L12" s="14" t="s">
        <v>382</v>
      </c>
      <c r="M12" t="s">
        <v>388</v>
      </c>
    </row>
    <row r="13" spans="1:14" x14ac:dyDescent="0.2">
      <c r="A13" s="11">
        <v>17</v>
      </c>
      <c r="B13" s="12" t="s">
        <v>333</v>
      </c>
      <c r="C13" s="5" t="s">
        <v>57</v>
      </c>
      <c r="D13" s="15" t="s">
        <v>349</v>
      </c>
      <c r="E13" s="11" t="s">
        <v>47</v>
      </c>
      <c r="F13" s="11" t="s">
        <v>133</v>
      </c>
      <c r="G13" s="11" t="s">
        <v>119</v>
      </c>
      <c r="H13" s="13" t="s">
        <v>58</v>
      </c>
      <c r="I13" s="17">
        <v>-78.322522000000006</v>
      </c>
      <c r="J13" s="17">
        <v>-6.971533</v>
      </c>
      <c r="K13" s="23">
        <v>20</v>
      </c>
      <c r="L13" s="14" t="s">
        <v>382</v>
      </c>
      <c r="M13" t="s">
        <v>389</v>
      </c>
      <c r="N13">
        <v>3500</v>
      </c>
    </row>
    <row r="14" spans="1:14" x14ac:dyDescent="0.2">
      <c r="A14" s="11">
        <v>18</v>
      </c>
      <c r="B14" s="12" t="s">
        <v>333</v>
      </c>
      <c r="C14" s="5" t="s">
        <v>104</v>
      </c>
      <c r="D14" s="15" t="s">
        <v>350</v>
      </c>
      <c r="E14" s="11" t="s">
        <v>127</v>
      </c>
      <c r="F14" s="11" t="s">
        <v>19</v>
      </c>
      <c r="G14" s="11" t="s">
        <v>20</v>
      </c>
      <c r="H14" s="13" t="s">
        <v>59</v>
      </c>
      <c r="I14" s="17">
        <v>-77.009495999999999</v>
      </c>
      <c r="J14" s="17">
        <v>-9.9809730000000005</v>
      </c>
      <c r="K14" s="23">
        <v>16</v>
      </c>
      <c r="L14" s="14" t="s">
        <v>380</v>
      </c>
      <c r="M14" t="s">
        <v>389</v>
      </c>
      <c r="N14">
        <v>750</v>
      </c>
    </row>
    <row r="15" spans="1:14" x14ac:dyDescent="0.2">
      <c r="A15" s="11">
        <v>19</v>
      </c>
      <c r="B15" s="12" t="s">
        <v>333</v>
      </c>
      <c r="C15" s="5" t="s">
        <v>105</v>
      </c>
      <c r="D15" s="15" t="s">
        <v>351</v>
      </c>
      <c r="E15" s="11" t="s">
        <v>14</v>
      </c>
      <c r="F15" s="11" t="s">
        <v>61</v>
      </c>
      <c r="G15" s="11" t="s">
        <v>62</v>
      </c>
      <c r="H15" s="13" t="s">
        <v>60</v>
      </c>
      <c r="I15" s="17">
        <v>-72.341581000000005</v>
      </c>
      <c r="J15" s="17">
        <v>-14.150339000000001</v>
      </c>
      <c r="K15" s="23">
        <v>20</v>
      </c>
      <c r="L15" s="14" t="s">
        <v>383</v>
      </c>
      <c r="M15" t="s">
        <v>387</v>
      </c>
    </row>
    <row r="16" spans="1:14" x14ac:dyDescent="0.2">
      <c r="A16" s="11">
        <v>20</v>
      </c>
      <c r="B16" s="12" t="s">
        <v>333</v>
      </c>
      <c r="C16" s="5" t="s">
        <v>126</v>
      </c>
      <c r="D16" s="15" t="s">
        <v>352</v>
      </c>
      <c r="E16" s="11" t="s">
        <v>14</v>
      </c>
      <c r="F16" s="11" t="s">
        <v>64</v>
      </c>
      <c r="G16" s="11" t="s">
        <v>64</v>
      </c>
      <c r="H16" s="13" t="s">
        <v>63</v>
      </c>
      <c r="I16" s="17">
        <v>-73.326554000000002</v>
      </c>
      <c r="J16" s="17">
        <v>-13.728662</v>
      </c>
      <c r="K16" s="23">
        <v>20</v>
      </c>
      <c r="L16" s="14" t="s">
        <v>382</v>
      </c>
      <c r="M16" t="s">
        <v>387</v>
      </c>
    </row>
    <row r="17" spans="1:14" x14ac:dyDescent="0.2">
      <c r="A17" s="11">
        <v>22</v>
      </c>
      <c r="B17" s="12" t="s">
        <v>333</v>
      </c>
      <c r="C17" s="5" t="s">
        <v>112</v>
      </c>
      <c r="D17" s="15" t="s">
        <v>354</v>
      </c>
      <c r="E17" s="11" t="s">
        <v>38</v>
      </c>
      <c r="F17" s="11" t="s">
        <v>69</v>
      </c>
      <c r="G17" s="11" t="s">
        <v>69</v>
      </c>
      <c r="H17" s="13" t="s">
        <v>6</v>
      </c>
      <c r="I17" s="17">
        <v>-71.267426</v>
      </c>
      <c r="J17" s="17">
        <v>-14.951765999999999</v>
      </c>
      <c r="K17" s="23">
        <v>25</v>
      </c>
      <c r="L17" s="14" t="s">
        <v>382</v>
      </c>
      <c r="M17" t="s">
        <v>387</v>
      </c>
    </row>
    <row r="18" spans="1:14" x14ac:dyDescent="0.2">
      <c r="A18" s="11">
        <v>23</v>
      </c>
      <c r="B18" s="12" t="s">
        <v>333</v>
      </c>
      <c r="C18" s="5" t="s">
        <v>106</v>
      </c>
      <c r="D18" s="15" t="s">
        <v>355</v>
      </c>
      <c r="E18" s="11" t="s">
        <v>47</v>
      </c>
      <c r="F18" s="11" t="s">
        <v>70</v>
      </c>
      <c r="G18" s="11" t="s">
        <v>71</v>
      </c>
      <c r="H18" s="13" t="s">
        <v>6</v>
      </c>
      <c r="I18" s="17">
        <v>-79.124661000000003</v>
      </c>
      <c r="J18" s="17">
        <v>-6.3526860000000003</v>
      </c>
      <c r="K18" s="23">
        <v>40</v>
      </c>
      <c r="L18" s="14" t="s">
        <v>382</v>
      </c>
      <c r="M18" t="s">
        <v>389</v>
      </c>
      <c r="N18">
        <v>5000</v>
      </c>
    </row>
    <row r="19" spans="1:14" x14ac:dyDescent="0.2">
      <c r="A19" s="11">
        <v>24</v>
      </c>
      <c r="B19" s="12" t="s">
        <v>333</v>
      </c>
      <c r="C19" s="5" t="s">
        <v>107</v>
      </c>
      <c r="D19" s="15" t="s">
        <v>356</v>
      </c>
      <c r="E19" s="11" t="s">
        <v>72</v>
      </c>
      <c r="F19" s="11" t="s">
        <v>73</v>
      </c>
      <c r="G19" s="11" t="s">
        <v>74</v>
      </c>
      <c r="H19" s="13" t="s">
        <v>60</v>
      </c>
      <c r="I19" s="17">
        <v>-71.004155999999995</v>
      </c>
      <c r="J19" s="17">
        <v>-16.888245999999999</v>
      </c>
      <c r="K19" s="23">
        <v>22</v>
      </c>
      <c r="L19" s="14" t="s">
        <v>380</v>
      </c>
      <c r="M19" t="s">
        <v>388</v>
      </c>
    </row>
    <row r="20" spans="1:14" x14ac:dyDescent="0.2">
      <c r="A20" s="11">
        <v>25</v>
      </c>
      <c r="B20" s="12" t="s">
        <v>333</v>
      </c>
      <c r="C20" s="5" t="s">
        <v>108</v>
      </c>
      <c r="D20" s="15" t="s">
        <v>357</v>
      </c>
      <c r="E20" s="11" t="s">
        <v>14</v>
      </c>
      <c r="F20" s="11" t="s">
        <v>75</v>
      </c>
      <c r="G20" s="11" t="s">
        <v>76</v>
      </c>
      <c r="H20" s="13" t="s">
        <v>6</v>
      </c>
      <c r="I20" s="17">
        <v>-73.121125000000006</v>
      </c>
      <c r="J20" s="17">
        <v>-14.160418999999999</v>
      </c>
      <c r="K20" s="23">
        <v>18</v>
      </c>
      <c r="L20" s="14" t="s">
        <v>382</v>
      </c>
      <c r="M20" t="s">
        <v>387</v>
      </c>
      <c r="N20">
        <v>2600</v>
      </c>
    </row>
    <row r="21" spans="1:14" x14ac:dyDescent="0.2">
      <c r="A21" s="11">
        <v>27</v>
      </c>
      <c r="B21" s="12" t="s">
        <v>333</v>
      </c>
      <c r="C21" s="5" t="s">
        <v>104</v>
      </c>
      <c r="D21" s="15" t="s">
        <v>359</v>
      </c>
      <c r="E21" s="11" t="s">
        <v>127</v>
      </c>
      <c r="F21" s="11" t="s">
        <v>80</v>
      </c>
      <c r="G21" s="11" t="s">
        <v>81</v>
      </c>
      <c r="H21" s="13" t="s">
        <v>6</v>
      </c>
      <c r="I21" s="17">
        <v>-77.766233</v>
      </c>
      <c r="J21" s="17">
        <v>-8.2165479999999995</v>
      </c>
      <c r="K21" s="23">
        <v>11</v>
      </c>
      <c r="L21" s="14" t="s">
        <v>382</v>
      </c>
      <c r="M21" t="s">
        <v>389</v>
      </c>
    </row>
    <row r="22" spans="1:14" x14ac:dyDescent="0.2">
      <c r="A22" s="11">
        <v>28</v>
      </c>
      <c r="B22" s="12" t="s">
        <v>333</v>
      </c>
      <c r="C22" s="5" t="s">
        <v>108</v>
      </c>
      <c r="D22" s="15" t="s">
        <v>360</v>
      </c>
      <c r="E22" s="11" t="s">
        <v>47</v>
      </c>
      <c r="F22" s="11" t="s">
        <v>47</v>
      </c>
      <c r="G22" s="11" t="s">
        <v>120</v>
      </c>
      <c r="H22" s="13" t="s">
        <v>6</v>
      </c>
      <c r="I22" s="17">
        <v>-78.320964000000004</v>
      </c>
      <c r="J22" s="17">
        <v>-7.0307110000000002</v>
      </c>
      <c r="K22" s="23">
        <v>25</v>
      </c>
      <c r="L22" s="14" t="s">
        <v>382</v>
      </c>
      <c r="M22" t="s">
        <v>389</v>
      </c>
      <c r="N22">
        <v>2500</v>
      </c>
    </row>
    <row r="23" spans="1:14" x14ac:dyDescent="0.2">
      <c r="A23" s="11">
        <v>31</v>
      </c>
      <c r="B23" s="12" t="s">
        <v>333</v>
      </c>
      <c r="C23" s="5" t="s">
        <v>109</v>
      </c>
      <c r="D23" s="15" t="s">
        <v>363</v>
      </c>
      <c r="E23" s="11" t="s">
        <v>55</v>
      </c>
      <c r="F23" s="11" t="s">
        <v>135</v>
      </c>
      <c r="G23" s="11" t="s">
        <v>139</v>
      </c>
      <c r="H23" s="13" t="s">
        <v>63</v>
      </c>
      <c r="I23" s="17">
        <v>-74.837185000000005</v>
      </c>
      <c r="J23" s="17">
        <v>-15.359912</v>
      </c>
      <c r="K23" s="23">
        <v>29</v>
      </c>
      <c r="L23" s="14" t="s">
        <v>382</v>
      </c>
      <c r="M23" t="s">
        <v>388</v>
      </c>
    </row>
    <row r="24" spans="1:14" x14ac:dyDescent="0.2">
      <c r="A24" s="11">
        <v>33</v>
      </c>
      <c r="B24" s="12" t="s">
        <v>333</v>
      </c>
      <c r="C24" s="5" t="s">
        <v>113</v>
      </c>
      <c r="D24" s="15" t="s">
        <v>365</v>
      </c>
      <c r="E24" s="11" t="s">
        <v>38</v>
      </c>
      <c r="F24" s="11" t="s">
        <v>69</v>
      </c>
      <c r="G24" s="11" t="s">
        <v>69</v>
      </c>
      <c r="H24" s="13" t="s">
        <v>6</v>
      </c>
      <c r="I24" s="17">
        <v>-71.293571999999998</v>
      </c>
      <c r="J24" s="17">
        <v>-14.977722</v>
      </c>
      <c r="K24" s="23">
        <v>17</v>
      </c>
      <c r="L24" s="14" t="s">
        <v>382</v>
      </c>
      <c r="M24" t="s">
        <v>387</v>
      </c>
    </row>
    <row r="25" spans="1:14" x14ac:dyDescent="0.2">
      <c r="A25" s="11">
        <v>34</v>
      </c>
      <c r="B25" s="12" t="s">
        <v>333</v>
      </c>
      <c r="C25" s="5" t="s">
        <v>87</v>
      </c>
      <c r="D25" s="15" t="s">
        <v>366</v>
      </c>
      <c r="E25" s="11" t="s">
        <v>72</v>
      </c>
      <c r="F25" s="11" t="s">
        <v>73</v>
      </c>
      <c r="G25" s="11" t="s">
        <v>88</v>
      </c>
      <c r="H25" s="13" t="s">
        <v>26</v>
      </c>
      <c r="I25" s="17">
        <v>-70.622110000000006</v>
      </c>
      <c r="J25" s="17">
        <v>-17.096755999999999</v>
      </c>
      <c r="K25" s="23">
        <v>30</v>
      </c>
      <c r="L25" s="14" t="s">
        <v>382</v>
      </c>
      <c r="M25" t="s">
        <v>388</v>
      </c>
      <c r="N25">
        <v>5300</v>
      </c>
    </row>
    <row r="26" spans="1:14" x14ac:dyDescent="0.2">
      <c r="A26" s="11">
        <v>36</v>
      </c>
      <c r="B26" s="12" t="s">
        <v>333</v>
      </c>
      <c r="C26" s="5" t="s">
        <v>114</v>
      </c>
      <c r="D26" s="15" t="s">
        <v>368</v>
      </c>
      <c r="E26" s="11" t="s">
        <v>72</v>
      </c>
      <c r="F26" s="11" t="s">
        <v>130</v>
      </c>
      <c r="G26" s="11" t="s">
        <v>122</v>
      </c>
      <c r="H26" s="13" t="s">
        <v>65</v>
      </c>
      <c r="I26" s="17">
        <v>-70.548269000000005</v>
      </c>
      <c r="J26" s="17">
        <v>-16.211713</v>
      </c>
      <c r="K26" s="23">
        <v>10</v>
      </c>
      <c r="L26" s="14" t="s">
        <v>380</v>
      </c>
      <c r="M26" t="s">
        <v>388</v>
      </c>
      <c r="N26">
        <v>431</v>
      </c>
    </row>
    <row r="27" spans="1:14" x14ac:dyDescent="0.2">
      <c r="A27" s="11">
        <v>37</v>
      </c>
      <c r="B27" s="12" t="s">
        <v>333</v>
      </c>
      <c r="C27" s="5" t="s">
        <v>93</v>
      </c>
      <c r="D27" s="15" t="s">
        <v>369</v>
      </c>
      <c r="E27" s="11" t="s">
        <v>127</v>
      </c>
      <c r="F27" s="11" t="s">
        <v>95</v>
      </c>
      <c r="G27" s="11" t="s">
        <v>96</v>
      </c>
      <c r="H27" s="13" t="s">
        <v>94</v>
      </c>
      <c r="I27" s="17">
        <v>-77.777687</v>
      </c>
      <c r="J27" s="17">
        <v>-9.4044830000000008</v>
      </c>
      <c r="K27" s="23">
        <v>3.5</v>
      </c>
      <c r="L27" s="14" t="s">
        <v>380</v>
      </c>
      <c r="M27" t="s">
        <v>389</v>
      </c>
      <c r="N27">
        <v>90</v>
      </c>
    </row>
    <row r="28" spans="1:14" x14ac:dyDescent="0.2">
      <c r="A28" s="11">
        <v>38</v>
      </c>
      <c r="B28" s="12" t="s">
        <v>333</v>
      </c>
      <c r="C28" s="5" t="s">
        <v>104</v>
      </c>
      <c r="D28" s="15" t="s">
        <v>370</v>
      </c>
      <c r="E28" s="11" t="s">
        <v>129</v>
      </c>
      <c r="F28" s="11" t="s">
        <v>129</v>
      </c>
      <c r="G28" s="11" t="s">
        <v>97</v>
      </c>
      <c r="H28" s="13" t="s">
        <v>33</v>
      </c>
      <c r="I28" s="17">
        <v>-75.973984999999999</v>
      </c>
      <c r="J28" s="17">
        <v>-10.855857</v>
      </c>
      <c r="K28" s="23">
        <v>15</v>
      </c>
      <c r="L28" s="14" t="s">
        <v>380</v>
      </c>
      <c r="M28" t="s">
        <v>389</v>
      </c>
    </row>
    <row r="29" spans="1:14" x14ac:dyDescent="0.2">
      <c r="A29" s="11">
        <v>39</v>
      </c>
      <c r="B29" s="12" t="s">
        <v>333</v>
      </c>
      <c r="C29" s="5" t="s">
        <v>108</v>
      </c>
      <c r="D29" s="15" t="s">
        <v>371</v>
      </c>
      <c r="E29" s="11" t="s">
        <v>55</v>
      </c>
      <c r="F29" s="11" t="s">
        <v>98</v>
      </c>
      <c r="G29" s="11" t="s">
        <v>137</v>
      </c>
      <c r="H29" s="13" t="s">
        <v>6</v>
      </c>
      <c r="I29" s="17">
        <v>-71.770694000000006</v>
      </c>
      <c r="J29" s="17">
        <v>-17.014408</v>
      </c>
      <c r="K29" s="23">
        <v>20</v>
      </c>
      <c r="L29" s="14" t="s">
        <v>382</v>
      </c>
      <c r="M29" t="s">
        <v>388</v>
      </c>
      <c r="N29">
        <v>1400</v>
      </c>
    </row>
    <row r="30" spans="1:14" x14ac:dyDescent="0.2">
      <c r="A30" s="11">
        <v>40</v>
      </c>
      <c r="B30" s="12" t="s">
        <v>333</v>
      </c>
      <c r="C30" s="5" t="s">
        <v>99</v>
      </c>
      <c r="D30" s="15" t="s">
        <v>372</v>
      </c>
      <c r="E30" s="11" t="s">
        <v>14</v>
      </c>
      <c r="F30" s="11" t="s">
        <v>27</v>
      </c>
      <c r="G30" s="11" t="s">
        <v>100</v>
      </c>
      <c r="H30" s="13" t="s">
        <v>26</v>
      </c>
      <c r="I30" s="17">
        <v>-72.873011000000005</v>
      </c>
      <c r="J30" s="17">
        <v>-14.495576</v>
      </c>
      <c r="K30" s="23">
        <v>18</v>
      </c>
      <c r="L30" s="14" t="s">
        <v>382</v>
      </c>
      <c r="M30" t="s">
        <v>387</v>
      </c>
    </row>
    <row r="31" spans="1:14" x14ac:dyDescent="0.2">
      <c r="A31" s="11">
        <v>41</v>
      </c>
      <c r="B31" s="12" t="s">
        <v>333</v>
      </c>
      <c r="C31" s="5" t="s">
        <v>45</v>
      </c>
      <c r="D31" s="15" t="s">
        <v>373</v>
      </c>
      <c r="E31" s="11" t="s">
        <v>47</v>
      </c>
      <c r="F31" s="11" t="s">
        <v>47</v>
      </c>
      <c r="G31" s="11" t="s">
        <v>123</v>
      </c>
      <c r="H31" s="13" t="s">
        <v>46</v>
      </c>
      <c r="I31" s="17">
        <v>-78.520454000000001</v>
      </c>
      <c r="J31" s="17">
        <v>-6.9861760000000004</v>
      </c>
      <c r="K31" s="23">
        <v>20</v>
      </c>
      <c r="L31" s="14" t="s">
        <v>383</v>
      </c>
      <c r="M31" t="s">
        <v>389</v>
      </c>
    </row>
    <row r="32" spans="1:14" ht="16" x14ac:dyDescent="0.2">
      <c r="A32" s="11">
        <v>42</v>
      </c>
      <c r="B32" s="12" t="s">
        <v>333</v>
      </c>
      <c r="C32" s="5" t="s">
        <v>115</v>
      </c>
      <c r="D32" s="15" t="s">
        <v>374</v>
      </c>
      <c r="E32" s="11" t="s">
        <v>55</v>
      </c>
      <c r="F32" s="11" t="s">
        <v>101</v>
      </c>
      <c r="G32" s="6" t="s">
        <v>136</v>
      </c>
      <c r="H32" s="13" t="s">
        <v>85</v>
      </c>
      <c r="I32" s="17">
        <v>-72.255324999999999</v>
      </c>
      <c r="J32" s="17">
        <v>-16.044281000000002</v>
      </c>
      <c r="K32" s="23">
        <v>19</v>
      </c>
      <c r="L32" s="14" t="s">
        <v>382</v>
      </c>
      <c r="M32" t="s">
        <v>388</v>
      </c>
    </row>
    <row r="33" spans="1:13" ht="16" x14ac:dyDescent="0.2">
      <c r="A33" s="11">
        <v>44</v>
      </c>
      <c r="B33" s="7" t="s">
        <v>334</v>
      </c>
      <c r="C33" s="7" t="s">
        <v>282</v>
      </c>
      <c r="D33" s="10" t="s">
        <v>141</v>
      </c>
      <c r="E33" s="6" t="s">
        <v>129</v>
      </c>
      <c r="F33" s="6" t="s">
        <v>24</v>
      </c>
      <c r="G33" s="6" t="s">
        <v>31</v>
      </c>
      <c r="H33" s="8" t="s">
        <v>142</v>
      </c>
      <c r="I33" s="9">
        <v>-76.408659597699994</v>
      </c>
      <c r="J33" s="9">
        <v>-11.354425839099999</v>
      </c>
      <c r="K33" s="14"/>
      <c r="L33" s="14"/>
      <c r="M33" t="s">
        <v>389</v>
      </c>
    </row>
    <row r="34" spans="1:13" ht="16" x14ac:dyDescent="0.2">
      <c r="A34" s="11">
        <v>45</v>
      </c>
      <c r="B34" s="7" t="s">
        <v>334</v>
      </c>
      <c r="C34" s="7" t="s">
        <v>306</v>
      </c>
      <c r="D34" s="10" t="s">
        <v>143</v>
      </c>
      <c r="E34" s="6" t="s">
        <v>55</v>
      </c>
      <c r="F34" s="6" t="s">
        <v>135</v>
      </c>
      <c r="G34" s="6" t="s">
        <v>276</v>
      </c>
      <c r="H34" s="8" t="s">
        <v>6</v>
      </c>
      <c r="I34" s="9">
        <v>-74.498639556399993</v>
      </c>
      <c r="J34" s="9">
        <v>-15.2792524592</v>
      </c>
      <c r="K34" s="14"/>
      <c r="L34" s="14"/>
      <c r="M34" t="s">
        <v>388</v>
      </c>
    </row>
    <row r="35" spans="1:13" ht="16" x14ac:dyDescent="0.2">
      <c r="A35" s="11">
        <v>47</v>
      </c>
      <c r="B35" s="7" t="s">
        <v>334</v>
      </c>
      <c r="C35" s="7" t="s">
        <v>307</v>
      </c>
      <c r="D35" s="10" t="s">
        <v>146</v>
      </c>
      <c r="E35" s="6" t="s">
        <v>55</v>
      </c>
      <c r="F35" s="6" t="s">
        <v>147</v>
      </c>
      <c r="G35" s="6" t="s">
        <v>148</v>
      </c>
      <c r="H35" s="8" t="s">
        <v>142</v>
      </c>
      <c r="I35" s="9">
        <v>-72.325963215599998</v>
      </c>
      <c r="J35" s="9">
        <v>-14.979778337100001</v>
      </c>
      <c r="K35" s="14"/>
      <c r="L35" s="14"/>
      <c r="M35" t="s">
        <v>388</v>
      </c>
    </row>
    <row r="36" spans="1:13" ht="16" x14ac:dyDescent="0.2">
      <c r="A36" s="11">
        <v>48</v>
      </c>
      <c r="B36" s="7" t="s">
        <v>334</v>
      </c>
      <c r="C36" s="7" t="s">
        <v>308</v>
      </c>
      <c r="D36" s="10" t="s">
        <v>149</v>
      </c>
      <c r="E36" s="6" t="s">
        <v>127</v>
      </c>
      <c r="F36" s="6" t="s">
        <v>19</v>
      </c>
      <c r="G36" s="6" t="s">
        <v>151</v>
      </c>
      <c r="H36" s="8" t="s">
        <v>150</v>
      </c>
      <c r="I36" s="9">
        <v>-77.029421875200001</v>
      </c>
      <c r="J36" s="9">
        <v>-9.9418521492600007</v>
      </c>
      <c r="K36" s="14"/>
      <c r="L36" s="14"/>
      <c r="M36" t="s">
        <v>389</v>
      </c>
    </row>
    <row r="37" spans="1:13" ht="16" x14ac:dyDescent="0.2">
      <c r="A37" s="11">
        <v>50</v>
      </c>
      <c r="B37" s="7" t="s">
        <v>334</v>
      </c>
      <c r="C37" s="7" t="s">
        <v>309</v>
      </c>
      <c r="D37" s="10" t="s">
        <v>263</v>
      </c>
      <c r="E37" s="6" t="s">
        <v>129</v>
      </c>
      <c r="F37" s="6" t="s">
        <v>24</v>
      </c>
      <c r="G37" s="6" t="s">
        <v>277</v>
      </c>
      <c r="H37" s="8" t="s">
        <v>150</v>
      </c>
      <c r="I37" s="9">
        <v>-76.306164975499996</v>
      </c>
      <c r="J37" s="9">
        <v>-11.1753121973</v>
      </c>
      <c r="K37" s="14"/>
      <c r="L37" s="14"/>
      <c r="M37" t="s">
        <v>389</v>
      </c>
    </row>
    <row r="38" spans="1:13" ht="16" x14ac:dyDescent="0.2">
      <c r="A38" s="11">
        <v>51</v>
      </c>
      <c r="B38" s="7" t="s">
        <v>334</v>
      </c>
      <c r="C38" s="7" t="s">
        <v>284</v>
      </c>
      <c r="D38" s="10" t="s">
        <v>153</v>
      </c>
      <c r="E38" s="6" t="s">
        <v>55</v>
      </c>
      <c r="F38" s="6" t="s">
        <v>154</v>
      </c>
      <c r="G38" s="6" t="s">
        <v>154</v>
      </c>
      <c r="H38" s="8" t="s">
        <v>142</v>
      </c>
      <c r="I38" s="9">
        <v>-71.851765554799996</v>
      </c>
      <c r="J38" s="9">
        <v>-15.175185687999999</v>
      </c>
      <c r="K38" s="14"/>
      <c r="L38" s="14"/>
      <c r="M38" t="s">
        <v>388</v>
      </c>
    </row>
    <row r="39" spans="1:13" ht="16" x14ac:dyDescent="0.2">
      <c r="A39" s="11">
        <v>52</v>
      </c>
      <c r="B39" s="7" t="s">
        <v>334</v>
      </c>
      <c r="C39" s="7" t="s">
        <v>45</v>
      </c>
      <c r="D39" s="10" t="s">
        <v>155</v>
      </c>
      <c r="E39" s="6" t="s">
        <v>47</v>
      </c>
      <c r="F39" s="6" t="s">
        <v>47</v>
      </c>
      <c r="G39" s="6" t="s">
        <v>47</v>
      </c>
      <c r="H39" s="8" t="s">
        <v>21</v>
      </c>
      <c r="I39" s="9">
        <v>-78.6037866275</v>
      </c>
      <c r="J39" s="9">
        <v>-7.0241065561099996</v>
      </c>
      <c r="K39" s="14"/>
      <c r="L39" s="14"/>
      <c r="M39" t="s">
        <v>389</v>
      </c>
    </row>
    <row r="40" spans="1:13" ht="16" x14ac:dyDescent="0.2">
      <c r="A40" s="11">
        <v>53</v>
      </c>
      <c r="B40" s="7" t="s">
        <v>334</v>
      </c>
      <c r="C40" s="7" t="s">
        <v>285</v>
      </c>
      <c r="D40" s="10" t="s">
        <v>156</v>
      </c>
      <c r="E40" s="6" t="s">
        <v>55</v>
      </c>
      <c r="F40" s="6" t="s">
        <v>135</v>
      </c>
      <c r="G40" s="6" t="s">
        <v>157</v>
      </c>
      <c r="H40" s="8" t="s">
        <v>6</v>
      </c>
      <c r="I40" s="9">
        <v>-74.296450315499996</v>
      </c>
      <c r="J40" s="9">
        <v>-15.683133379499999</v>
      </c>
      <c r="K40" s="14"/>
      <c r="L40" s="14"/>
      <c r="M40" t="s">
        <v>388</v>
      </c>
    </row>
    <row r="41" spans="1:13" ht="16" x14ac:dyDescent="0.2">
      <c r="A41" s="11">
        <v>56</v>
      </c>
      <c r="B41" s="7" t="s">
        <v>334</v>
      </c>
      <c r="C41" s="7" t="s">
        <v>45</v>
      </c>
      <c r="D41" s="10" t="s">
        <v>163</v>
      </c>
      <c r="E41" s="6" t="s">
        <v>47</v>
      </c>
      <c r="F41" s="6" t="s">
        <v>47</v>
      </c>
      <c r="G41" s="6" t="s">
        <v>47</v>
      </c>
      <c r="H41" s="8" t="s">
        <v>21</v>
      </c>
      <c r="I41" s="9">
        <v>-78.492729592700002</v>
      </c>
      <c r="J41" s="9">
        <v>-6.9540723594999996</v>
      </c>
      <c r="K41" s="14"/>
      <c r="L41" s="14"/>
      <c r="M41" t="s">
        <v>389</v>
      </c>
    </row>
    <row r="42" spans="1:13" ht="16" x14ac:dyDescent="0.2">
      <c r="A42" s="11">
        <v>57</v>
      </c>
      <c r="B42" s="7" t="s">
        <v>334</v>
      </c>
      <c r="C42" s="7" t="s">
        <v>287</v>
      </c>
      <c r="D42" s="10" t="s">
        <v>164</v>
      </c>
      <c r="E42" s="6" t="s">
        <v>127</v>
      </c>
      <c r="F42" s="6" t="s">
        <v>165</v>
      </c>
      <c r="G42" s="6" t="s">
        <v>165</v>
      </c>
      <c r="H42" s="8" t="s">
        <v>21</v>
      </c>
      <c r="I42" s="9">
        <v>-77.870304368999996</v>
      </c>
      <c r="J42" s="9">
        <v>-10.0631090494</v>
      </c>
      <c r="K42" s="14"/>
      <c r="L42" s="14"/>
      <c r="M42" t="s">
        <v>389</v>
      </c>
    </row>
    <row r="43" spans="1:13" ht="16" x14ac:dyDescent="0.2">
      <c r="A43" s="11">
        <v>58</v>
      </c>
      <c r="B43" s="7" t="s">
        <v>334</v>
      </c>
      <c r="C43" s="7" t="s">
        <v>307</v>
      </c>
      <c r="D43" s="10" t="s">
        <v>264</v>
      </c>
      <c r="E43" s="6" t="s">
        <v>166</v>
      </c>
      <c r="F43" s="6" t="s">
        <v>167</v>
      </c>
      <c r="G43" s="6" t="s">
        <v>168</v>
      </c>
      <c r="H43" s="8" t="s">
        <v>6</v>
      </c>
      <c r="I43" s="9">
        <v>-71.052968147599998</v>
      </c>
      <c r="J43" s="9">
        <v>-17.792143062000001</v>
      </c>
      <c r="K43" s="14"/>
      <c r="L43" s="14"/>
      <c r="M43" t="s">
        <v>388</v>
      </c>
    </row>
    <row r="44" spans="1:13" ht="16" x14ac:dyDescent="0.2">
      <c r="A44" s="11">
        <v>59</v>
      </c>
      <c r="B44" s="7" t="s">
        <v>334</v>
      </c>
      <c r="C44" s="7" t="s">
        <v>307</v>
      </c>
      <c r="D44" s="10" t="s">
        <v>169</v>
      </c>
      <c r="E44" s="6" t="s">
        <v>38</v>
      </c>
      <c r="F44" s="6" t="s">
        <v>170</v>
      </c>
      <c r="G44" s="6" t="s">
        <v>171</v>
      </c>
      <c r="H44" s="8" t="s">
        <v>21</v>
      </c>
      <c r="I44" s="9">
        <v>-72.391382465000007</v>
      </c>
      <c r="J44" s="9">
        <v>-14.7492791312</v>
      </c>
      <c r="K44" s="14"/>
      <c r="L44" s="14"/>
      <c r="M44" t="s">
        <v>387</v>
      </c>
    </row>
    <row r="45" spans="1:13" ht="16" x14ac:dyDescent="0.2">
      <c r="A45" s="11">
        <v>60</v>
      </c>
      <c r="B45" s="7" t="s">
        <v>334</v>
      </c>
      <c r="C45" s="7" t="s">
        <v>288</v>
      </c>
      <c r="D45" s="10" t="s">
        <v>172</v>
      </c>
      <c r="E45" s="6" t="s">
        <v>166</v>
      </c>
      <c r="F45" s="6" t="s">
        <v>166</v>
      </c>
      <c r="G45" s="6" t="s">
        <v>173</v>
      </c>
      <c r="H45" s="8" t="s">
        <v>142</v>
      </c>
      <c r="I45" s="9">
        <v>-70.345993192199998</v>
      </c>
      <c r="J45" s="9">
        <v>-17.5668676626</v>
      </c>
      <c r="K45" s="14"/>
      <c r="L45" s="14"/>
      <c r="M45" t="s">
        <v>388</v>
      </c>
    </row>
    <row r="46" spans="1:13" ht="16" x14ac:dyDescent="0.2">
      <c r="A46" s="11">
        <v>62</v>
      </c>
      <c r="B46" s="7" t="s">
        <v>334</v>
      </c>
      <c r="C46" s="7" t="s">
        <v>308</v>
      </c>
      <c r="D46" s="10" t="s">
        <v>176</v>
      </c>
      <c r="E46" s="6" t="s">
        <v>10</v>
      </c>
      <c r="F46" s="6" t="s">
        <v>177</v>
      </c>
      <c r="G46" s="6" t="s">
        <v>178</v>
      </c>
      <c r="H46" s="8" t="s">
        <v>150</v>
      </c>
      <c r="I46" s="9">
        <v>-75.786317582600006</v>
      </c>
      <c r="J46" s="9">
        <v>-13.5248622309</v>
      </c>
      <c r="K46" s="14"/>
      <c r="L46" s="14"/>
      <c r="M46" t="s">
        <v>389</v>
      </c>
    </row>
    <row r="47" spans="1:13" ht="16" x14ac:dyDescent="0.2">
      <c r="A47" s="11">
        <v>64</v>
      </c>
      <c r="B47" s="7" t="s">
        <v>334</v>
      </c>
      <c r="C47" s="7" t="s">
        <v>305</v>
      </c>
      <c r="D47" s="10" t="s">
        <v>180</v>
      </c>
      <c r="E47" s="6" t="s">
        <v>22</v>
      </c>
      <c r="F47" s="6" t="s">
        <v>181</v>
      </c>
      <c r="G47" s="6" t="s">
        <v>181</v>
      </c>
      <c r="H47" s="8" t="s">
        <v>6</v>
      </c>
      <c r="I47" s="9">
        <v>-78.613840169599996</v>
      </c>
      <c r="J47" s="9">
        <v>-7.8544753457300001</v>
      </c>
      <c r="K47" s="14"/>
      <c r="L47" s="14"/>
      <c r="M47" t="s">
        <v>389</v>
      </c>
    </row>
    <row r="48" spans="1:13" ht="16" x14ac:dyDescent="0.2">
      <c r="A48" s="11">
        <v>66</v>
      </c>
      <c r="B48" s="7" t="s">
        <v>334</v>
      </c>
      <c r="C48" s="7" t="s">
        <v>307</v>
      </c>
      <c r="D48" s="10" t="s">
        <v>183</v>
      </c>
      <c r="E48" s="11" t="s">
        <v>14</v>
      </c>
      <c r="F48" s="6" t="s">
        <v>27</v>
      </c>
      <c r="G48" s="6" t="s">
        <v>184</v>
      </c>
      <c r="H48" s="8" t="s">
        <v>21</v>
      </c>
      <c r="I48" s="9">
        <v>-72.529730145200006</v>
      </c>
      <c r="J48" s="9">
        <v>-14.6631416019</v>
      </c>
      <c r="K48" s="14"/>
      <c r="L48" s="14"/>
      <c r="M48" t="s">
        <v>387</v>
      </c>
    </row>
    <row r="49" spans="1:13" ht="16" x14ac:dyDescent="0.2">
      <c r="A49" s="11">
        <v>69</v>
      </c>
      <c r="B49" s="7" t="s">
        <v>334</v>
      </c>
      <c r="C49" s="7" t="s">
        <v>312</v>
      </c>
      <c r="D49" s="10" t="s">
        <v>188</v>
      </c>
      <c r="E49" s="6" t="s">
        <v>55</v>
      </c>
      <c r="F49" s="6" t="s">
        <v>189</v>
      </c>
      <c r="G49" s="6" t="s">
        <v>327</v>
      </c>
      <c r="H49" s="8" t="s">
        <v>21</v>
      </c>
      <c r="I49" s="9">
        <v>-72.393204087300006</v>
      </c>
      <c r="J49" s="9">
        <v>-15.673085971300001</v>
      </c>
      <c r="K49" s="14"/>
      <c r="L49" s="14"/>
      <c r="M49" t="s">
        <v>388</v>
      </c>
    </row>
    <row r="50" spans="1:13" ht="16" x14ac:dyDescent="0.2">
      <c r="A50" s="11">
        <v>70</v>
      </c>
      <c r="B50" s="7" t="s">
        <v>334</v>
      </c>
      <c r="C50" s="7" t="s">
        <v>291</v>
      </c>
      <c r="D50" s="10" t="s">
        <v>190</v>
      </c>
      <c r="E50" s="6" t="s">
        <v>47</v>
      </c>
      <c r="F50" s="6" t="s">
        <v>191</v>
      </c>
      <c r="G50" s="6" t="s">
        <v>328</v>
      </c>
      <c r="H50" s="8" t="s">
        <v>21</v>
      </c>
      <c r="I50" s="9">
        <v>-78.893432348900006</v>
      </c>
      <c r="J50" s="9">
        <v>-6.8093015040099996</v>
      </c>
      <c r="K50" s="14"/>
      <c r="L50" s="14"/>
      <c r="M50" t="s">
        <v>389</v>
      </c>
    </row>
    <row r="51" spans="1:13" ht="16" x14ac:dyDescent="0.2">
      <c r="A51" s="11">
        <v>71</v>
      </c>
      <c r="B51" s="7" t="s">
        <v>334</v>
      </c>
      <c r="C51" s="7" t="s">
        <v>313</v>
      </c>
      <c r="D51" s="10" t="s">
        <v>192</v>
      </c>
      <c r="E51" s="6" t="s">
        <v>22</v>
      </c>
      <c r="F51" s="6" t="s">
        <v>23</v>
      </c>
      <c r="G51" s="6" t="s">
        <v>23</v>
      </c>
      <c r="H51" s="8" t="s">
        <v>21</v>
      </c>
      <c r="I51" s="9">
        <v>-77.650881201800004</v>
      </c>
      <c r="J51" s="9">
        <v>-7.6632175066399997</v>
      </c>
      <c r="K51" s="14"/>
      <c r="L51" s="14"/>
      <c r="M51" t="s">
        <v>389</v>
      </c>
    </row>
    <row r="52" spans="1:13" ht="16" x14ac:dyDescent="0.2">
      <c r="A52" s="11">
        <v>73</v>
      </c>
      <c r="B52" s="7" t="s">
        <v>334</v>
      </c>
      <c r="C52" s="7" t="s">
        <v>314</v>
      </c>
      <c r="D52" s="10" t="s">
        <v>267</v>
      </c>
      <c r="E52" s="6" t="s">
        <v>22</v>
      </c>
      <c r="F52" s="6" t="s">
        <v>181</v>
      </c>
      <c r="G52" s="6" t="s">
        <v>195</v>
      </c>
      <c r="H52" s="8" t="s">
        <v>6</v>
      </c>
      <c r="I52" s="9">
        <v>-78.743251801400007</v>
      </c>
      <c r="J52" s="9">
        <v>-7.7200234507500003</v>
      </c>
      <c r="K52" s="14"/>
      <c r="L52" s="14"/>
      <c r="M52" t="s">
        <v>389</v>
      </c>
    </row>
    <row r="53" spans="1:13" ht="16" x14ac:dyDescent="0.2">
      <c r="A53" s="11">
        <v>75</v>
      </c>
      <c r="B53" s="7" t="s">
        <v>334</v>
      </c>
      <c r="C53" s="7" t="s">
        <v>308</v>
      </c>
      <c r="D53" s="10" t="s">
        <v>198</v>
      </c>
      <c r="E53" s="6" t="s">
        <v>127</v>
      </c>
      <c r="F53" s="6" t="s">
        <v>127</v>
      </c>
      <c r="G53" s="6" t="s">
        <v>199</v>
      </c>
      <c r="H53" s="8" t="s">
        <v>150</v>
      </c>
      <c r="I53" s="9">
        <v>-77.874508753499995</v>
      </c>
      <c r="J53" s="9">
        <v>-9.7676748934499997</v>
      </c>
      <c r="K53" s="14"/>
      <c r="L53" s="14"/>
      <c r="M53" t="s">
        <v>389</v>
      </c>
    </row>
    <row r="54" spans="1:13" ht="16" x14ac:dyDescent="0.2">
      <c r="A54" s="11">
        <v>76</v>
      </c>
      <c r="B54" s="7" t="s">
        <v>334</v>
      </c>
      <c r="C54" s="7" t="s">
        <v>285</v>
      </c>
      <c r="D54" s="10" t="s">
        <v>200</v>
      </c>
      <c r="E54" s="6" t="s">
        <v>55</v>
      </c>
      <c r="F54" s="6" t="s">
        <v>135</v>
      </c>
      <c r="G54" s="6" t="s">
        <v>157</v>
      </c>
      <c r="H54" s="8" t="s">
        <v>6</v>
      </c>
      <c r="I54" s="9">
        <v>-74.326141912699995</v>
      </c>
      <c r="J54" s="9">
        <v>-15.666984962200001</v>
      </c>
      <c r="K54" s="14"/>
      <c r="L54" s="14"/>
      <c r="M54" t="s">
        <v>388</v>
      </c>
    </row>
    <row r="55" spans="1:13" ht="16" x14ac:dyDescent="0.2">
      <c r="A55" s="11">
        <v>79</v>
      </c>
      <c r="B55" s="7" t="s">
        <v>334</v>
      </c>
      <c r="C55" s="7" t="s">
        <v>315</v>
      </c>
      <c r="D55" s="10" t="s">
        <v>268</v>
      </c>
      <c r="E55" s="6" t="s">
        <v>127</v>
      </c>
      <c r="F55" s="6" t="s">
        <v>205</v>
      </c>
      <c r="G55" s="6" t="s">
        <v>329</v>
      </c>
      <c r="H55" s="8" t="s">
        <v>6</v>
      </c>
      <c r="I55" s="9">
        <v>-77.915059004100002</v>
      </c>
      <c r="J55" s="9">
        <v>-9.1954330467999998</v>
      </c>
      <c r="K55" s="14"/>
      <c r="L55" s="14"/>
      <c r="M55" t="s">
        <v>389</v>
      </c>
    </row>
    <row r="56" spans="1:13" ht="16" x14ac:dyDescent="0.2">
      <c r="A56" s="11">
        <v>84</v>
      </c>
      <c r="B56" s="7" t="s">
        <v>334</v>
      </c>
      <c r="C56" s="7" t="s">
        <v>296</v>
      </c>
      <c r="D56" s="10" t="s">
        <v>212</v>
      </c>
      <c r="E56" s="6" t="s">
        <v>72</v>
      </c>
      <c r="F56" s="6" t="s">
        <v>213</v>
      </c>
      <c r="G56" s="6" t="s">
        <v>214</v>
      </c>
      <c r="H56" s="8" t="s">
        <v>6</v>
      </c>
      <c r="I56" s="9">
        <v>-71.372097424100005</v>
      </c>
      <c r="J56" s="9">
        <v>-16.741486905999999</v>
      </c>
      <c r="K56" s="14"/>
      <c r="L56" s="14"/>
      <c r="M56" t="s">
        <v>388</v>
      </c>
    </row>
    <row r="57" spans="1:13" ht="16" x14ac:dyDescent="0.2">
      <c r="A57" s="11">
        <v>85</v>
      </c>
      <c r="B57" s="7" t="s">
        <v>334</v>
      </c>
      <c r="C57" s="7" t="s">
        <v>318</v>
      </c>
      <c r="D57" s="10" t="s">
        <v>269</v>
      </c>
      <c r="E57" s="6" t="s">
        <v>55</v>
      </c>
      <c r="F57" s="6" t="s">
        <v>135</v>
      </c>
      <c r="G57" s="6" t="s">
        <v>215</v>
      </c>
      <c r="H57" s="8" t="s">
        <v>6</v>
      </c>
      <c r="I57" s="9">
        <v>-73.969081833999994</v>
      </c>
      <c r="J57" s="9">
        <v>-15.944572382900001</v>
      </c>
      <c r="K57" s="14"/>
      <c r="L57" s="14"/>
      <c r="M57" t="s">
        <v>388</v>
      </c>
    </row>
    <row r="58" spans="1:13" ht="16" x14ac:dyDescent="0.2">
      <c r="A58" s="11">
        <v>86</v>
      </c>
      <c r="B58" s="7" t="s">
        <v>334</v>
      </c>
      <c r="C58" s="7" t="s">
        <v>319</v>
      </c>
      <c r="D58" s="10" t="s">
        <v>216</v>
      </c>
      <c r="E58" s="6" t="s">
        <v>127</v>
      </c>
      <c r="F58" s="6" t="s">
        <v>217</v>
      </c>
      <c r="G58" s="6" t="s">
        <v>218</v>
      </c>
      <c r="H58" s="8" t="s">
        <v>6</v>
      </c>
      <c r="I58" s="9">
        <v>-77.710559564199997</v>
      </c>
      <c r="J58" s="9">
        <v>-8.5763749575499997</v>
      </c>
      <c r="K58" s="14"/>
      <c r="L58" s="14"/>
      <c r="M58" t="s">
        <v>389</v>
      </c>
    </row>
    <row r="59" spans="1:13" ht="16" x14ac:dyDescent="0.2">
      <c r="A59" s="11">
        <v>88</v>
      </c>
      <c r="B59" s="7" t="s">
        <v>334</v>
      </c>
      <c r="C59" s="7" t="s">
        <v>314</v>
      </c>
      <c r="D59" s="10" t="s">
        <v>221</v>
      </c>
      <c r="E59" s="6" t="s">
        <v>38</v>
      </c>
      <c r="F59" s="6" t="s">
        <v>170</v>
      </c>
      <c r="G59" s="6" t="s">
        <v>222</v>
      </c>
      <c r="H59" s="8" t="s">
        <v>6</v>
      </c>
      <c r="I59" s="9">
        <v>-71.7658764631</v>
      </c>
      <c r="J59" s="9">
        <v>-14.3750620851</v>
      </c>
      <c r="K59" s="14"/>
      <c r="L59" s="14"/>
      <c r="M59" t="s">
        <v>387</v>
      </c>
    </row>
    <row r="60" spans="1:13" ht="16" x14ac:dyDescent="0.2">
      <c r="A60" s="11">
        <v>90</v>
      </c>
      <c r="B60" s="7" t="s">
        <v>334</v>
      </c>
      <c r="C60" s="7" t="s">
        <v>297</v>
      </c>
      <c r="D60" s="10" t="s">
        <v>226</v>
      </c>
      <c r="E60" s="6" t="s">
        <v>55</v>
      </c>
      <c r="F60" s="6" t="s">
        <v>154</v>
      </c>
      <c r="G60" s="6" t="s">
        <v>228</v>
      </c>
      <c r="H60" s="8" t="s">
        <v>227</v>
      </c>
      <c r="I60" s="9">
        <v>-71.269219490400005</v>
      </c>
      <c r="J60" s="9">
        <v>-15.593443844299999</v>
      </c>
      <c r="K60" s="14"/>
      <c r="L60" s="14"/>
      <c r="M60" t="s">
        <v>388</v>
      </c>
    </row>
    <row r="61" spans="1:13" ht="16" x14ac:dyDescent="0.2">
      <c r="A61" s="11">
        <v>93</v>
      </c>
      <c r="B61" s="7" t="s">
        <v>334</v>
      </c>
      <c r="C61" s="7" t="s">
        <v>317</v>
      </c>
      <c r="D61" s="10" t="s">
        <v>233</v>
      </c>
      <c r="E61" s="11" t="s">
        <v>14</v>
      </c>
      <c r="F61" s="6" t="s">
        <v>234</v>
      </c>
      <c r="G61" s="6" t="s">
        <v>235</v>
      </c>
      <c r="H61" s="8" t="s">
        <v>6</v>
      </c>
      <c r="I61" s="9">
        <v>-72.602599041700003</v>
      </c>
      <c r="J61" s="9">
        <v>-14.159117782199999</v>
      </c>
      <c r="K61" s="14"/>
      <c r="L61" s="14"/>
      <c r="M61" t="s">
        <v>387</v>
      </c>
    </row>
    <row r="62" spans="1:13" ht="16" x14ac:dyDescent="0.2">
      <c r="A62" s="11">
        <v>94</v>
      </c>
      <c r="B62" s="7" t="s">
        <v>334</v>
      </c>
      <c r="C62" s="7" t="s">
        <v>45</v>
      </c>
      <c r="D62" s="10" t="s">
        <v>270</v>
      </c>
      <c r="E62" s="6" t="s">
        <v>47</v>
      </c>
      <c r="F62" s="6" t="s">
        <v>47</v>
      </c>
      <c r="G62" s="6" t="s">
        <v>274</v>
      </c>
      <c r="H62" s="8" t="s">
        <v>21</v>
      </c>
      <c r="I62" s="9">
        <v>-78.511589777699996</v>
      </c>
      <c r="J62" s="9">
        <v>-7.0219903157300001</v>
      </c>
      <c r="K62" s="14"/>
      <c r="L62" s="14"/>
      <c r="M62" t="s">
        <v>389</v>
      </c>
    </row>
    <row r="63" spans="1:13" ht="16" x14ac:dyDescent="0.2">
      <c r="A63" s="11">
        <v>95</v>
      </c>
      <c r="B63" s="7" t="s">
        <v>334</v>
      </c>
      <c r="C63" s="7" t="s">
        <v>320</v>
      </c>
      <c r="D63" s="10" t="s">
        <v>236</v>
      </c>
      <c r="E63" s="6" t="s">
        <v>38</v>
      </c>
      <c r="F63" s="6" t="s">
        <v>69</v>
      </c>
      <c r="G63" s="6" t="s">
        <v>237</v>
      </c>
      <c r="H63" s="8" t="s">
        <v>142</v>
      </c>
      <c r="I63" s="9">
        <v>-71.817605228399998</v>
      </c>
      <c r="J63" s="9">
        <v>-15.058809656599999</v>
      </c>
      <c r="K63" s="14"/>
      <c r="L63" s="14"/>
      <c r="M63" t="s">
        <v>387</v>
      </c>
    </row>
    <row r="64" spans="1:13" ht="16" x14ac:dyDescent="0.2">
      <c r="A64" s="11">
        <v>97</v>
      </c>
      <c r="B64" s="7" t="s">
        <v>334</v>
      </c>
      <c r="C64" s="7" t="s">
        <v>322</v>
      </c>
      <c r="D64" s="10" t="s">
        <v>240</v>
      </c>
      <c r="E64" s="11" t="s">
        <v>14</v>
      </c>
      <c r="F64" s="6" t="s">
        <v>27</v>
      </c>
      <c r="G64" s="6" t="s">
        <v>27</v>
      </c>
      <c r="H64" s="8" t="s">
        <v>21</v>
      </c>
      <c r="I64" s="9">
        <v>-72.678611832599998</v>
      </c>
      <c r="J64" s="9">
        <v>-14.510051280800001</v>
      </c>
      <c r="K64" s="14"/>
      <c r="L64" s="14"/>
      <c r="M64" t="s">
        <v>387</v>
      </c>
    </row>
    <row r="65" spans="1:13" ht="16" x14ac:dyDescent="0.2">
      <c r="A65" s="11">
        <v>99</v>
      </c>
      <c r="B65" s="7" t="s">
        <v>334</v>
      </c>
      <c r="C65" s="7" t="s">
        <v>300</v>
      </c>
      <c r="D65" s="10" t="s">
        <v>244</v>
      </c>
      <c r="E65" s="6" t="s">
        <v>127</v>
      </c>
      <c r="F65" s="6" t="s">
        <v>245</v>
      </c>
      <c r="G65" s="6" t="s">
        <v>245</v>
      </c>
      <c r="H65" s="8" t="s">
        <v>6</v>
      </c>
      <c r="I65" s="9">
        <v>-77.575493047600006</v>
      </c>
      <c r="J65" s="9">
        <v>-9.7759075714199994</v>
      </c>
      <c r="K65" s="14"/>
      <c r="L65" s="14"/>
      <c r="M65" t="s">
        <v>389</v>
      </c>
    </row>
    <row r="66" spans="1:13" ht="16" x14ac:dyDescent="0.2">
      <c r="A66" s="11">
        <v>101</v>
      </c>
      <c r="B66" s="7" t="s">
        <v>334</v>
      </c>
      <c r="C66" s="7" t="s">
        <v>302</v>
      </c>
      <c r="D66" s="10" t="s">
        <v>248</v>
      </c>
      <c r="E66" s="6" t="s">
        <v>166</v>
      </c>
      <c r="F66" s="6" t="s">
        <v>249</v>
      </c>
      <c r="G66" s="6" t="s">
        <v>250</v>
      </c>
      <c r="H66" s="8" t="s">
        <v>6</v>
      </c>
      <c r="I66" s="9">
        <v>-70.422119078500003</v>
      </c>
      <c r="J66" s="9">
        <v>-17.164734554700001</v>
      </c>
      <c r="K66" s="14"/>
      <c r="L66" s="14"/>
      <c r="M66" t="s">
        <v>388</v>
      </c>
    </row>
    <row r="67" spans="1:13" ht="16" x14ac:dyDescent="0.2">
      <c r="A67" s="11">
        <v>102</v>
      </c>
      <c r="B67" s="7" t="s">
        <v>334</v>
      </c>
      <c r="C67" s="7" t="s">
        <v>323</v>
      </c>
      <c r="D67" s="10" t="s">
        <v>251</v>
      </c>
      <c r="E67" s="11" t="s">
        <v>14</v>
      </c>
      <c r="F67" s="6" t="s">
        <v>252</v>
      </c>
      <c r="G67" s="6" t="s">
        <v>253</v>
      </c>
      <c r="H67" s="8" t="s">
        <v>21</v>
      </c>
      <c r="I67" s="9">
        <v>-72.974705744800005</v>
      </c>
      <c r="J67" s="9">
        <v>-14.122640953099999</v>
      </c>
      <c r="K67" s="14"/>
      <c r="L67" s="14"/>
      <c r="M67" t="s">
        <v>387</v>
      </c>
    </row>
    <row r="68" spans="1:13" ht="16" x14ac:dyDescent="0.2">
      <c r="A68" s="11">
        <v>106</v>
      </c>
      <c r="B68" s="7" t="s">
        <v>334</v>
      </c>
      <c r="C68" s="7" t="s">
        <v>324</v>
      </c>
      <c r="D68" s="10" t="s">
        <v>260</v>
      </c>
      <c r="E68" s="6" t="s">
        <v>129</v>
      </c>
      <c r="F68" s="6" t="s">
        <v>24</v>
      </c>
      <c r="G68" s="6" t="s">
        <v>261</v>
      </c>
      <c r="H68" s="8" t="s">
        <v>142</v>
      </c>
      <c r="I68" s="9">
        <v>-75.963163817199998</v>
      </c>
      <c r="J68" s="9">
        <v>-11.7772444542</v>
      </c>
      <c r="K68" s="14"/>
      <c r="L68" s="14"/>
      <c r="M68" t="s">
        <v>389</v>
      </c>
    </row>
  </sheetData>
  <autoFilter ref="A1:M68" xr:uid="{3958A9DC-900F-4865-ACD0-255BF8BDF97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4864-A945-8A4A-A712-0504935DCB31}">
  <dimension ref="B2:H42"/>
  <sheetViews>
    <sheetView zoomScale="110" zoomScaleNormal="110" workbookViewId="0">
      <selection activeCell="B12" sqref="B12"/>
    </sheetView>
  </sheetViews>
  <sheetFormatPr baseColWidth="10" defaultColWidth="10.83203125" defaultRowHeight="15" x14ac:dyDescent="0.2"/>
  <cols>
    <col min="1" max="1" width="10.83203125" style="27"/>
    <col min="2" max="2" width="121.83203125" style="27" customWidth="1"/>
    <col min="3" max="16384" width="10.83203125" style="27"/>
  </cols>
  <sheetData>
    <row r="2" spans="2:7" ht="16" x14ac:dyDescent="0.2">
      <c r="B2" s="32" t="s">
        <v>421</v>
      </c>
      <c r="C2" s="31">
        <v>5300</v>
      </c>
      <c r="D2" s="27" t="s">
        <v>446</v>
      </c>
      <c r="E2" s="27" t="s">
        <v>72</v>
      </c>
      <c r="F2" s="27" t="s">
        <v>448</v>
      </c>
      <c r="G2" s="27" t="s">
        <v>6</v>
      </c>
    </row>
    <row r="3" spans="2:7" ht="16" x14ac:dyDescent="0.2">
      <c r="B3" s="32" t="s">
        <v>462</v>
      </c>
      <c r="C3" s="28">
        <v>5000</v>
      </c>
      <c r="D3" s="27" t="s">
        <v>446</v>
      </c>
      <c r="E3" s="27" t="s">
        <v>47</v>
      </c>
      <c r="F3" s="27" t="s">
        <v>448</v>
      </c>
      <c r="G3" s="27" t="s">
        <v>6</v>
      </c>
    </row>
    <row r="4" spans="2:7" ht="16" x14ac:dyDescent="0.2">
      <c r="B4" s="34" t="s">
        <v>463</v>
      </c>
      <c r="C4" s="29">
        <v>4800</v>
      </c>
      <c r="D4" s="27" t="s">
        <v>446</v>
      </c>
      <c r="E4" s="27" t="s">
        <v>47</v>
      </c>
      <c r="F4" s="33" t="s">
        <v>448</v>
      </c>
      <c r="G4" s="27" t="s">
        <v>85</v>
      </c>
    </row>
    <row r="5" spans="2:7" ht="16" x14ac:dyDescent="0.2">
      <c r="B5" s="34" t="s">
        <v>464</v>
      </c>
      <c r="C5" s="29">
        <v>3500</v>
      </c>
      <c r="D5" s="27" t="s">
        <v>446</v>
      </c>
      <c r="E5" s="27" t="s">
        <v>47</v>
      </c>
      <c r="F5" s="33" t="s">
        <v>448</v>
      </c>
      <c r="G5" s="27" t="s">
        <v>6</v>
      </c>
    </row>
    <row r="6" spans="2:7" ht="16" x14ac:dyDescent="0.2">
      <c r="B6" s="34" t="s">
        <v>465</v>
      </c>
      <c r="C6" s="29">
        <v>2600</v>
      </c>
      <c r="D6" s="27" t="s">
        <v>446</v>
      </c>
      <c r="E6" s="27" t="s">
        <v>14</v>
      </c>
      <c r="F6" s="33" t="s">
        <v>448</v>
      </c>
      <c r="G6" s="27" t="s">
        <v>6</v>
      </c>
    </row>
    <row r="7" spans="2:7" ht="16" x14ac:dyDescent="0.2">
      <c r="B7" s="28" t="s">
        <v>466</v>
      </c>
      <c r="C7" s="29">
        <v>2500</v>
      </c>
      <c r="D7" s="27" t="s">
        <v>446</v>
      </c>
      <c r="E7" s="27" t="s">
        <v>47</v>
      </c>
      <c r="F7" s="33" t="s">
        <v>448</v>
      </c>
      <c r="G7" s="27" t="s">
        <v>6</v>
      </c>
    </row>
    <row r="8" spans="2:7" ht="16" x14ac:dyDescent="0.2">
      <c r="B8" s="34" t="s">
        <v>467</v>
      </c>
      <c r="C8" s="29">
        <v>2500</v>
      </c>
      <c r="D8" s="27" t="s">
        <v>446</v>
      </c>
      <c r="E8" s="27" t="s">
        <v>90</v>
      </c>
      <c r="F8" s="27" t="s">
        <v>451</v>
      </c>
      <c r="G8" s="27" t="s">
        <v>6</v>
      </c>
    </row>
    <row r="9" spans="2:7" ht="16" x14ac:dyDescent="0.2">
      <c r="B9" s="34" t="s">
        <v>468</v>
      </c>
      <c r="C9" s="29">
        <v>2450</v>
      </c>
      <c r="D9" s="27" t="s">
        <v>447</v>
      </c>
      <c r="E9" s="27" t="s">
        <v>22</v>
      </c>
      <c r="F9" s="27" t="s">
        <v>448</v>
      </c>
      <c r="G9" s="27" t="s">
        <v>6</v>
      </c>
    </row>
    <row r="10" spans="2:7" ht="16" x14ac:dyDescent="0.2">
      <c r="B10" s="36" t="s">
        <v>425</v>
      </c>
      <c r="C10" s="36">
        <v>2300</v>
      </c>
      <c r="D10" s="37" t="s">
        <v>447</v>
      </c>
      <c r="E10" s="37" t="s">
        <v>453</v>
      </c>
      <c r="F10" s="37" t="s">
        <v>448</v>
      </c>
      <c r="G10" s="37" t="s">
        <v>142</v>
      </c>
    </row>
    <row r="11" spans="2:7" ht="16" x14ac:dyDescent="0.2">
      <c r="B11" s="36" t="s">
        <v>469</v>
      </c>
      <c r="C11" s="38">
        <v>1600</v>
      </c>
      <c r="D11" s="37" t="s">
        <v>447</v>
      </c>
      <c r="E11" s="37" t="s">
        <v>10</v>
      </c>
      <c r="F11" s="37" t="s">
        <v>448</v>
      </c>
      <c r="G11" s="37" t="s">
        <v>6</v>
      </c>
    </row>
    <row r="12" spans="2:7" ht="16" x14ac:dyDescent="0.2">
      <c r="B12" s="34" t="s">
        <v>470</v>
      </c>
      <c r="C12" s="29">
        <v>1571</v>
      </c>
      <c r="D12" s="27" t="s">
        <v>446</v>
      </c>
      <c r="E12" s="27" t="s">
        <v>41</v>
      </c>
      <c r="F12" s="27" t="s">
        <v>451</v>
      </c>
      <c r="G12" s="27" t="s">
        <v>85</v>
      </c>
    </row>
    <row r="13" spans="2:7" ht="16" x14ac:dyDescent="0.2">
      <c r="B13" s="34" t="s">
        <v>471</v>
      </c>
      <c r="C13" s="29">
        <v>1530</v>
      </c>
      <c r="D13" s="27" t="s">
        <v>446</v>
      </c>
      <c r="E13" s="27" t="s">
        <v>14</v>
      </c>
      <c r="F13" s="27" t="s">
        <v>448</v>
      </c>
      <c r="G13" s="27" t="s">
        <v>85</v>
      </c>
    </row>
    <row r="14" spans="2:7" ht="16" x14ac:dyDescent="0.2">
      <c r="B14" s="34" t="s">
        <v>472</v>
      </c>
      <c r="C14" s="29">
        <v>1400</v>
      </c>
      <c r="D14" s="27" t="s">
        <v>446</v>
      </c>
      <c r="E14" s="27" t="s">
        <v>55</v>
      </c>
      <c r="F14" s="27" t="s">
        <v>448</v>
      </c>
      <c r="G14" s="27" t="s">
        <v>6</v>
      </c>
    </row>
    <row r="15" spans="2:7" ht="16" x14ac:dyDescent="0.2">
      <c r="B15" s="28" t="s">
        <v>426</v>
      </c>
      <c r="C15" s="28">
        <v>1355</v>
      </c>
      <c r="D15" s="27" t="s">
        <v>446</v>
      </c>
      <c r="E15" s="27" t="s">
        <v>455</v>
      </c>
      <c r="F15" s="27" t="s">
        <v>448</v>
      </c>
      <c r="G15" s="27" t="s">
        <v>142</v>
      </c>
    </row>
    <row r="16" spans="2:7" ht="16" x14ac:dyDescent="0.2">
      <c r="B16" s="32" t="s">
        <v>482</v>
      </c>
      <c r="C16" s="28">
        <v>750</v>
      </c>
      <c r="D16" s="27" t="s">
        <v>446</v>
      </c>
      <c r="E16" s="27" t="s">
        <v>453</v>
      </c>
      <c r="F16" s="27" t="s">
        <v>448</v>
      </c>
      <c r="G16" s="27" t="s">
        <v>473</v>
      </c>
    </row>
    <row r="17" spans="2:8" ht="16" x14ac:dyDescent="0.2">
      <c r="B17" s="32" t="s">
        <v>483</v>
      </c>
      <c r="C17" s="28">
        <v>579</v>
      </c>
      <c r="D17" s="27" t="s">
        <v>446</v>
      </c>
      <c r="E17" s="27" t="s">
        <v>51</v>
      </c>
      <c r="F17" s="27" t="s">
        <v>450</v>
      </c>
      <c r="G17" s="27" t="s">
        <v>474</v>
      </c>
    </row>
    <row r="18" spans="2:8" ht="16" x14ac:dyDescent="0.2">
      <c r="B18" s="28" t="s">
        <v>434</v>
      </c>
      <c r="C18" s="28">
        <v>465.9</v>
      </c>
      <c r="D18" s="27" t="s">
        <v>446</v>
      </c>
      <c r="E18" s="27" t="s">
        <v>34</v>
      </c>
      <c r="F18" s="27" t="s">
        <v>454</v>
      </c>
      <c r="G18" s="27" t="s">
        <v>475</v>
      </c>
    </row>
    <row r="19" spans="2:8" ht="16" x14ac:dyDescent="0.2">
      <c r="B19" s="28" t="s">
        <v>477</v>
      </c>
      <c r="C19" s="28">
        <v>431</v>
      </c>
      <c r="D19" s="27" t="s">
        <v>446</v>
      </c>
      <c r="E19" s="27" t="s">
        <v>72</v>
      </c>
      <c r="F19" s="27" t="s">
        <v>448</v>
      </c>
      <c r="G19" s="27" t="s">
        <v>21</v>
      </c>
    </row>
    <row r="20" spans="2:8" ht="16" x14ac:dyDescent="0.2">
      <c r="B20" s="35" t="s">
        <v>424</v>
      </c>
      <c r="C20" s="36">
        <v>362</v>
      </c>
      <c r="D20" s="37" t="s">
        <v>447</v>
      </c>
      <c r="E20" s="37" t="s">
        <v>55</v>
      </c>
      <c r="F20" s="37" t="s">
        <v>448</v>
      </c>
      <c r="G20" s="37" t="s">
        <v>142</v>
      </c>
      <c r="H20" s="37"/>
    </row>
    <row r="21" spans="2:8" ht="16" x14ac:dyDescent="0.2">
      <c r="B21" s="32" t="s">
        <v>432</v>
      </c>
      <c r="C21" s="28">
        <v>345.5</v>
      </c>
      <c r="D21" s="27" t="s">
        <v>446</v>
      </c>
      <c r="E21" s="27" t="s">
        <v>38</v>
      </c>
      <c r="F21" s="27" t="s">
        <v>448</v>
      </c>
      <c r="G21" s="27" t="s">
        <v>476</v>
      </c>
    </row>
    <row r="22" spans="2:8" ht="16" x14ac:dyDescent="0.2">
      <c r="B22" s="32" t="s">
        <v>484</v>
      </c>
      <c r="C22" s="28">
        <v>296.39999999999998</v>
      </c>
      <c r="D22" s="27" t="s">
        <v>446</v>
      </c>
      <c r="E22" s="27" t="s">
        <v>43</v>
      </c>
      <c r="F22" s="27" t="s">
        <v>452</v>
      </c>
      <c r="G22" s="27" t="s">
        <v>476</v>
      </c>
    </row>
    <row r="23" spans="2:8" ht="16" x14ac:dyDescent="0.2">
      <c r="B23" s="28" t="s">
        <v>486</v>
      </c>
      <c r="C23" s="28">
        <v>209</v>
      </c>
      <c r="D23" s="27" t="s">
        <v>447</v>
      </c>
      <c r="E23" s="27" t="s">
        <v>51</v>
      </c>
      <c r="F23" s="27" t="s">
        <v>450</v>
      </c>
      <c r="G23" s="27" t="s">
        <v>224</v>
      </c>
    </row>
    <row r="24" spans="2:8" ht="16" x14ac:dyDescent="0.2">
      <c r="B24" s="28" t="s">
        <v>478</v>
      </c>
      <c r="C24" s="28">
        <v>126</v>
      </c>
      <c r="D24" s="27" t="s">
        <v>446</v>
      </c>
      <c r="E24" s="27" t="s">
        <v>51</v>
      </c>
      <c r="F24" s="27" t="s">
        <v>450</v>
      </c>
      <c r="G24" s="27" t="s">
        <v>21</v>
      </c>
    </row>
    <row r="25" spans="2:8" ht="16" x14ac:dyDescent="0.2">
      <c r="B25" s="28" t="s">
        <v>433</v>
      </c>
      <c r="C25" s="28">
        <v>125</v>
      </c>
      <c r="D25" s="27" t="s">
        <v>446</v>
      </c>
      <c r="E25" s="27" t="s">
        <v>455</v>
      </c>
      <c r="F25" s="27" t="s">
        <v>448</v>
      </c>
      <c r="G25" s="27" t="s">
        <v>150</v>
      </c>
    </row>
    <row r="26" spans="2:8" ht="16" x14ac:dyDescent="0.2">
      <c r="B26" s="28" t="s">
        <v>440</v>
      </c>
      <c r="C26" s="28">
        <v>116.5</v>
      </c>
      <c r="D26" s="27" t="s">
        <v>446</v>
      </c>
      <c r="E26" s="27" t="s">
        <v>453</v>
      </c>
      <c r="F26" s="27" t="s">
        <v>448</v>
      </c>
      <c r="G26" s="27" t="s">
        <v>476</v>
      </c>
    </row>
    <row r="27" spans="2:8" ht="16" x14ac:dyDescent="0.2">
      <c r="B27" s="32" t="s">
        <v>485</v>
      </c>
      <c r="C27" s="28">
        <v>91.2</v>
      </c>
      <c r="D27" s="27" t="s">
        <v>446</v>
      </c>
      <c r="E27" s="27" t="s">
        <v>455</v>
      </c>
      <c r="F27" s="27" t="s">
        <v>448</v>
      </c>
      <c r="G27" s="27" t="s">
        <v>476</v>
      </c>
    </row>
    <row r="28" spans="2:8" ht="16" x14ac:dyDescent="0.2">
      <c r="B28" s="28" t="s">
        <v>479</v>
      </c>
      <c r="C28" s="28">
        <v>90</v>
      </c>
      <c r="D28" s="27" t="s">
        <v>446</v>
      </c>
      <c r="E28" s="27" t="s">
        <v>453</v>
      </c>
      <c r="F28" s="27" t="s">
        <v>448</v>
      </c>
      <c r="G28" s="27" t="s">
        <v>21</v>
      </c>
    </row>
    <row r="29" spans="2:8" ht="16" x14ac:dyDescent="0.2">
      <c r="B29" s="28" t="s">
        <v>480</v>
      </c>
      <c r="C29" s="28">
        <v>12.7</v>
      </c>
      <c r="D29" s="27" t="s">
        <v>447</v>
      </c>
      <c r="E29" s="27" t="s">
        <v>456</v>
      </c>
      <c r="F29" s="27" t="s">
        <v>449</v>
      </c>
      <c r="G29" s="27" t="s">
        <v>21</v>
      </c>
    </row>
    <row r="30" spans="2:8" ht="16" x14ac:dyDescent="0.2">
      <c r="B30" s="35" t="s">
        <v>481</v>
      </c>
      <c r="C30" s="36" t="s">
        <v>422</v>
      </c>
      <c r="D30" s="37" t="s">
        <v>447</v>
      </c>
      <c r="E30" s="37" t="s">
        <v>47</v>
      </c>
      <c r="F30" s="37" t="s">
        <v>448</v>
      </c>
      <c r="G30" s="37" t="s">
        <v>21</v>
      </c>
    </row>
    <row r="31" spans="2:8" ht="16" x14ac:dyDescent="0.2">
      <c r="B31" s="28" t="s">
        <v>436</v>
      </c>
      <c r="C31" s="28" t="s">
        <v>422</v>
      </c>
      <c r="D31" s="27" t="s">
        <v>446</v>
      </c>
      <c r="E31" s="27" t="s">
        <v>455</v>
      </c>
      <c r="F31" s="27" t="s">
        <v>448</v>
      </c>
      <c r="G31" s="27" t="s">
        <v>476</v>
      </c>
    </row>
    <row r="32" spans="2:8" ht="16" x14ac:dyDescent="0.2">
      <c r="B32" s="36" t="s">
        <v>441</v>
      </c>
      <c r="C32" s="36" t="s">
        <v>422</v>
      </c>
      <c r="D32" s="37" t="s">
        <v>447</v>
      </c>
      <c r="E32" s="37" t="s">
        <v>453</v>
      </c>
      <c r="F32" s="37" t="s">
        <v>448</v>
      </c>
      <c r="G32" s="37" t="s">
        <v>476</v>
      </c>
    </row>
    <row r="33" spans="2:7" ht="16" x14ac:dyDescent="0.2">
      <c r="B33" s="28" t="s">
        <v>442</v>
      </c>
      <c r="C33" s="28" t="s">
        <v>422</v>
      </c>
      <c r="D33" s="27" t="s">
        <v>446</v>
      </c>
      <c r="E33" s="27" t="s">
        <v>7</v>
      </c>
      <c r="F33" s="27" t="s">
        <v>449</v>
      </c>
      <c r="G33" s="27" t="s">
        <v>476</v>
      </c>
    </row>
    <row r="34" spans="2:7" ht="16" x14ac:dyDescent="0.2">
      <c r="B34" s="28" t="s">
        <v>444</v>
      </c>
      <c r="C34" s="28" t="s">
        <v>422</v>
      </c>
      <c r="D34" s="27" t="s">
        <v>447</v>
      </c>
      <c r="E34" s="27" t="s">
        <v>7</v>
      </c>
      <c r="F34" s="27" t="s">
        <v>449</v>
      </c>
      <c r="G34" s="27" t="s">
        <v>460</v>
      </c>
    </row>
    <row r="35" spans="2:7" ht="16" x14ac:dyDescent="0.2">
      <c r="B35" s="32" t="s">
        <v>423</v>
      </c>
      <c r="C35" s="28" t="s">
        <v>422</v>
      </c>
      <c r="D35" s="27" t="s">
        <v>446</v>
      </c>
      <c r="E35" s="27" t="s">
        <v>34</v>
      </c>
      <c r="F35" s="27" t="s">
        <v>454</v>
      </c>
      <c r="G35" s="27" t="s">
        <v>142</v>
      </c>
    </row>
    <row r="36" spans="2:7" ht="16" x14ac:dyDescent="0.2">
      <c r="B36" s="36" t="s">
        <v>427</v>
      </c>
      <c r="C36" s="36" t="s">
        <v>422</v>
      </c>
      <c r="D36" s="37" t="s">
        <v>447</v>
      </c>
      <c r="E36" s="37" t="s">
        <v>10</v>
      </c>
      <c r="F36" s="37" t="s">
        <v>448</v>
      </c>
      <c r="G36" s="37" t="s">
        <v>142</v>
      </c>
    </row>
    <row r="37" spans="2:7" ht="16" x14ac:dyDescent="0.2">
      <c r="B37" s="28" t="s">
        <v>428</v>
      </c>
      <c r="C37" s="28" t="s">
        <v>422</v>
      </c>
      <c r="D37" s="27" t="s">
        <v>447</v>
      </c>
      <c r="E37" s="27" t="s">
        <v>7</v>
      </c>
      <c r="F37" s="27" t="s">
        <v>449</v>
      </c>
      <c r="G37" s="27" t="s">
        <v>142</v>
      </c>
    </row>
    <row r="38" spans="2:7" ht="16" x14ac:dyDescent="0.2">
      <c r="B38" s="32" t="s">
        <v>429</v>
      </c>
      <c r="C38" s="28" t="s">
        <v>422</v>
      </c>
      <c r="D38" s="27" t="s">
        <v>447</v>
      </c>
      <c r="E38" s="27" t="s">
        <v>34</v>
      </c>
      <c r="F38" s="27" t="s">
        <v>454</v>
      </c>
      <c r="G38" s="27" t="s">
        <v>142</v>
      </c>
    </row>
    <row r="39" spans="2:7" ht="16" x14ac:dyDescent="0.2">
      <c r="B39" s="28" t="s">
        <v>458</v>
      </c>
      <c r="C39" s="28" t="s">
        <v>422</v>
      </c>
      <c r="D39" s="27" t="s">
        <v>446</v>
      </c>
      <c r="E39" s="27" t="s">
        <v>7</v>
      </c>
      <c r="F39" s="27" t="s">
        <v>449</v>
      </c>
      <c r="G39" s="27" t="s">
        <v>150</v>
      </c>
    </row>
    <row r="40" spans="2:7" ht="16" x14ac:dyDescent="0.2">
      <c r="B40" s="28" t="s">
        <v>435</v>
      </c>
      <c r="C40" s="28" t="s">
        <v>422</v>
      </c>
      <c r="D40" s="27" t="s">
        <v>446</v>
      </c>
      <c r="E40" s="27" t="s">
        <v>43</v>
      </c>
      <c r="F40" s="27" t="s">
        <v>452</v>
      </c>
      <c r="G40" s="27" t="s">
        <v>150</v>
      </c>
    </row>
    <row r="41" spans="2:7" ht="16" x14ac:dyDescent="0.2">
      <c r="B41" s="28" t="s">
        <v>443</v>
      </c>
      <c r="C41" s="28" t="s">
        <v>422</v>
      </c>
      <c r="D41" s="27" t="s">
        <v>447</v>
      </c>
      <c r="E41" s="27" t="s">
        <v>34</v>
      </c>
      <c r="F41" s="27" t="s">
        <v>454</v>
      </c>
      <c r="G41" s="27" t="s">
        <v>150</v>
      </c>
    </row>
    <row r="42" spans="2:7" ht="16" x14ac:dyDescent="0.2">
      <c r="B42" s="28" t="s">
        <v>444</v>
      </c>
      <c r="C42" s="28" t="s">
        <v>422</v>
      </c>
      <c r="D42" s="27" t="s">
        <v>447</v>
      </c>
      <c r="E42" s="27" t="s">
        <v>7</v>
      </c>
      <c r="F42" s="27" t="s">
        <v>449</v>
      </c>
      <c r="G42" s="27" t="s">
        <v>150</v>
      </c>
    </row>
  </sheetData>
  <autoFilter ref="B2:G42" xr:uid="{08CC4864-A945-8A4A-A712-0504935DCB3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38EC-1FD0-4347-80C8-51987A647E90}">
  <dimension ref="B1:G63"/>
  <sheetViews>
    <sheetView zoomScale="110" zoomScaleNormal="110" workbookViewId="0">
      <selection activeCell="B53" sqref="B53"/>
    </sheetView>
  </sheetViews>
  <sheetFormatPr baseColWidth="10" defaultColWidth="10.83203125" defaultRowHeight="15" x14ac:dyDescent="0.2"/>
  <cols>
    <col min="1" max="1" width="10.83203125" style="27"/>
    <col min="2" max="2" width="72" style="27" customWidth="1"/>
    <col min="3" max="3" width="12.83203125" style="27" customWidth="1"/>
    <col min="4" max="16384" width="10.83203125" style="27"/>
  </cols>
  <sheetData>
    <row r="1" spans="2:7" x14ac:dyDescent="0.2">
      <c r="D1" s="30" t="s">
        <v>420</v>
      </c>
    </row>
    <row r="2" spans="2:7" ht="16" x14ac:dyDescent="0.2">
      <c r="B2" s="32" t="s">
        <v>421</v>
      </c>
      <c r="C2" s="31">
        <v>5300</v>
      </c>
      <c r="D2" s="27" t="s">
        <v>446</v>
      </c>
      <c r="E2" s="27" t="s">
        <v>72</v>
      </c>
      <c r="F2" s="27" t="s">
        <v>448</v>
      </c>
      <c r="G2" s="27" t="s">
        <v>6</v>
      </c>
    </row>
    <row r="3" spans="2:7" ht="16" x14ac:dyDescent="0.2">
      <c r="B3" s="28" t="s">
        <v>390</v>
      </c>
      <c r="C3" s="28">
        <v>5000</v>
      </c>
      <c r="D3" s="27" t="s">
        <v>446</v>
      </c>
      <c r="E3" s="27" t="s">
        <v>47</v>
      </c>
      <c r="F3" s="27" t="s">
        <v>448</v>
      </c>
      <c r="G3" s="27" t="s">
        <v>6</v>
      </c>
    </row>
    <row r="4" spans="2:7" ht="32" x14ac:dyDescent="0.2">
      <c r="B4" s="29" t="s">
        <v>391</v>
      </c>
      <c r="C4" s="29">
        <v>4800</v>
      </c>
      <c r="D4" s="27" t="s">
        <v>446</v>
      </c>
      <c r="E4" s="27" t="s">
        <v>47</v>
      </c>
      <c r="F4" s="33" t="s">
        <v>448</v>
      </c>
      <c r="G4" s="27" t="s">
        <v>6</v>
      </c>
    </row>
    <row r="5" spans="2:7" ht="16" x14ac:dyDescent="0.2">
      <c r="B5" s="29" t="s">
        <v>392</v>
      </c>
      <c r="C5" s="29">
        <v>3500</v>
      </c>
      <c r="D5" s="27" t="s">
        <v>446</v>
      </c>
      <c r="E5" s="27" t="s">
        <v>47</v>
      </c>
      <c r="F5" s="33" t="s">
        <v>448</v>
      </c>
      <c r="G5" s="27" t="s">
        <v>6</v>
      </c>
    </row>
    <row r="6" spans="2:7" ht="16" x14ac:dyDescent="0.2">
      <c r="B6" s="29" t="s">
        <v>393</v>
      </c>
      <c r="C6" s="29">
        <v>2600</v>
      </c>
      <c r="D6" s="27" t="s">
        <v>446</v>
      </c>
      <c r="E6" s="27" t="s">
        <v>14</v>
      </c>
      <c r="F6" s="33" t="s">
        <v>448</v>
      </c>
      <c r="G6" s="27" t="s">
        <v>6</v>
      </c>
    </row>
    <row r="7" spans="2:7" ht="16" x14ac:dyDescent="0.2">
      <c r="B7" s="29" t="s">
        <v>394</v>
      </c>
      <c r="C7" s="29">
        <v>2500</v>
      </c>
      <c r="D7" s="27" t="s">
        <v>446</v>
      </c>
      <c r="E7" s="27" t="s">
        <v>47</v>
      </c>
      <c r="F7" s="33" t="s">
        <v>448</v>
      </c>
      <c r="G7" s="27" t="s">
        <v>6</v>
      </c>
    </row>
    <row r="8" spans="2:7" ht="32" x14ac:dyDescent="0.2">
      <c r="B8" s="29" t="s">
        <v>395</v>
      </c>
      <c r="C8" s="29">
        <v>2500</v>
      </c>
      <c r="D8" s="27" t="s">
        <v>446</v>
      </c>
      <c r="E8" s="27" t="s">
        <v>90</v>
      </c>
      <c r="F8" s="27" t="s">
        <v>451</v>
      </c>
      <c r="G8" s="27" t="s">
        <v>6</v>
      </c>
    </row>
    <row r="9" spans="2:7" ht="16" x14ac:dyDescent="0.2">
      <c r="B9" s="29" t="s">
        <v>396</v>
      </c>
      <c r="C9" s="29">
        <v>2450</v>
      </c>
      <c r="D9" s="27" t="s">
        <v>447</v>
      </c>
      <c r="E9" s="27" t="s">
        <v>22</v>
      </c>
      <c r="F9" s="27" t="s">
        <v>448</v>
      </c>
      <c r="G9" s="27" t="s">
        <v>6</v>
      </c>
    </row>
    <row r="10" spans="2:7" ht="16" x14ac:dyDescent="0.2">
      <c r="B10" s="29" t="s">
        <v>397</v>
      </c>
      <c r="C10" s="29">
        <v>1600</v>
      </c>
      <c r="D10" s="27" t="s">
        <v>447</v>
      </c>
      <c r="E10" s="27" t="s">
        <v>10</v>
      </c>
      <c r="F10" s="27" t="s">
        <v>448</v>
      </c>
      <c r="G10" s="27" t="s">
        <v>6</v>
      </c>
    </row>
    <row r="11" spans="2:7" ht="16" x14ac:dyDescent="0.2">
      <c r="B11" s="29" t="s">
        <v>398</v>
      </c>
      <c r="C11" s="29">
        <v>1571</v>
      </c>
      <c r="D11" s="27" t="s">
        <v>446</v>
      </c>
      <c r="E11" s="27" t="s">
        <v>41</v>
      </c>
      <c r="F11" s="27" t="s">
        <v>451</v>
      </c>
      <c r="G11" s="27" t="s">
        <v>6</v>
      </c>
    </row>
    <row r="12" spans="2:7" ht="16" x14ac:dyDescent="0.2">
      <c r="B12" s="29" t="s">
        <v>399</v>
      </c>
      <c r="C12" s="29">
        <v>1530</v>
      </c>
      <c r="D12" s="27" t="s">
        <v>446</v>
      </c>
      <c r="E12" s="27" t="s">
        <v>14</v>
      </c>
      <c r="F12" s="27" t="s">
        <v>448</v>
      </c>
      <c r="G12" s="27" t="s">
        <v>6</v>
      </c>
    </row>
    <row r="13" spans="2:7" ht="16" x14ac:dyDescent="0.2">
      <c r="B13" s="29" t="s">
        <v>400</v>
      </c>
      <c r="C13" s="29">
        <v>1400</v>
      </c>
      <c r="D13" s="27" t="s">
        <v>446</v>
      </c>
      <c r="E13" s="27" t="s">
        <v>55</v>
      </c>
      <c r="F13" s="27" t="s">
        <v>448</v>
      </c>
      <c r="G13" s="27" t="s">
        <v>6</v>
      </c>
    </row>
    <row r="15" spans="2:7" ht="32" x14ac:dyDescent="0.2">
      <c r="B15" s="28" t="s">
        <v>403</v>
      </c>
      <c r="C15" s="28">
        <v>4800</v>
      </c>
      <c r="D15" s="27" t="s">
        <v>446</v>
      </c>
      <c r="E15" s="27" t="s">
        <v>47</v>
      </c>
      <c r="F15" s="27" t="s">
        <v>448</v>
      </c>
      <c r="G15" s="27" t="s">
        <v>21</v>
      </c>
    </row>
    <row r="16" spans="2:7" ht="16" x14ac:dyDescent="0.2">
      <c r="B16" s="28" t="s">
        <v>405</v>
      </c>
      <c r="C16" s="28">
        <v>3500</v>
      </c>
      <c r="D16" s="27" t="s">
        <v>446</v>
      </c>
      <c r="E16" s="27" t="s">
        <v>47</v>
      </c>
      <c r="F16" s="27" t="s">
        <v>448</v>
      </c>
      <c r="G16" s="27" t="s">
        <v>21</v>
      </c>
    </row>
    <row r="17" spans="2:7" ht="16" x14ac:dyDescent="0.2">
      <c r="B17" s="28" t="s">
        <v>404</v>
      </c>
      <c r="C17" s="28">
        <v>1530</v>
      </c>
      <c r="D17" s="27" t="s">
        <v>446</v>
      </c>
      <c r="E17" s="27" t="s">
        <v>14</v>
      </c>
      <c r="F17" s="27" t="s">
        <v>448</v>
      </c>
      <c r="G17" s="27" t="s">
        <v>21</v>
      </c>
    </row>
    <row r="18" spans="2:7" ht="16" x14ac:dyDescent="0.2">
      <c r="B18" s="28" t="s">
        <v>402</v>
      </c>
      <c r="C18" s="28">
        <v>1437</v>
      </c>
      <c r="D18" s="27" t="s">
        <v>446</v>
      </c>
      <c r="E18" s="27" t="s">
        <v>41</v>
      </c>
      <c r="F18" s="27" t="s">
        <v>452</v>
      </c>
      <c r="G18" s="27" t="s">
        <v>21</v>
      </c>
    </row>
    <row r="19" spans="2:7" ht="16" x14ac:dyDescent="0.2">
      <c r="B19" s="28" t="s">
        <v>408</v>
      </c>
      <c r="C19" s="28">
        <v>431</v>
      </c>
      <c r="D19" s="27" t="s">
        <v>446</v>
      </c>
      <c r="E19" s="27" t="s">
        <v>72</v>
      </c>
      <c r="F19" s="27" t="s">
        <v>448</v>
      </c>
      <c r="G19" s="27" t="s">
        <v>21</v>
      </c>
    </row>
    <row r="20" spans="2:7" ht="16" x14ac:dyDescent="0.2">
      <c r="B20" s="28" t="s">
        <v>407</v>
      </c>
      <c r="C20" s="28">
        <v>126</v>
      </c>
      <c r="D20" s="27" t="s">
        <v>446</v>
      </c>
      <c r="E20" s="27" t="s">
        <v>51</v>
      </c>
      <c r="F20" s="27" t="s">
        <v>450</v>
      </c>
      <c r="G20" s="27" t="s">
        <v>21</v>
      </c>
    </row>
    <row r="21" spans="2:7" ht="16" x14ac:dyDescent="0.2">
      <c r="B21" s="28" t="s">
        <v>409</v>
      </c>
      <c r="C21" s="28">
        <v>90</v>
      </c>
      <c r="D21" s="27" t="s">
        <v>446</v>
      </c>
      <c r="E21" s="27" t="s">
        <v>453</v>
      </c>
      <c r="F21" s="27" t="s">
        <v>448</v>
      </c>
      <c r="G21" s="27" t="s">
        <v>21</v>
      </c>
    </row>
    <row r="22" spans="2:7" ht="16" x14ac:dyDescent="0.2">
      <c r="B22" s="28" t="s">
        <v>406</v>
      </c>
      <c r="C22" s="28">
        <v>12.7</v>
      </c>
      <c r="D22" s="27" t="s">
        <v>447</v>
      </c>
      <c r="E22" s="27" t="s">
        <v>456</v>
      </c>
      <c r="F22" s="27" t="s">
        <v>449</v>
      </c>
      <c r="G22" s="27" t="s">
        <v>21</v>
      </c>
    </row>
    <row r="23" spans="2:7" ht="16" x14ac:dyDescent="0.2">
      <c r="B23" s="28" t="s">
        <v>401</v>
      </c>
      <c r="C23" s="28" t="s">
        <v>422</v>
      </c>
      <c r="D23" s="27" t="s">
        <v>447</v>
      </c>
      <c r="E23" s="27" t="s">
        <v>47</v>
      </c>
      <c r="F23" s="27" t="s">
        <v>448</v>
      </c>
      <c r="G23" s="27" t="s">
        <v>21</v>
      </c>
    </row>
    <row r="26" spans="2:7" ht="16" x14ac:dyDescent="0.2">
      <c r="B26" s="28" t="s">
        <v>415</v>
      </c>
      <c r="C26" s="28">
        <v>750</v>
      </c>
      <c r="D26" s="27" t="s">
        <v>446</v>
      </c>
      <c r="E26" s="27" t="s">
        <v>453</v>
      </c>
      <c r="F26" s="27" t="s">
        <v>448</v>
      </c>
      <c r="G26" s="27" t="s">
        <v>460</v>
      </c>
    </row>
    <row r="27" spans="2:7" ht="16" x14ac:dyDescent="0.2">
      <c r="B27" s="28" t="s">
        <v>413</v>
      </c>
      <c r="C27" s="28">
        <v>579</v>
      </c>
      <c r="D27" s="27" t="s">
        <v>446</v>
      </c>
      <c r="E27" s="27" t="s">
        <v>51</v>
      </c>
      <c r="F27" s="27" t="s">
        <v>450</v>
      </c>
      <c r="G27" s="27" t="s">
        <v>460</v>
      </c>
    </row>
    <row r="28" spans="2:7" ht="16" x14ac:dyDescent="0.2">
      <c r="B28" s="28" t="s">
        <v>411</v>
      </c>
      <c r="C28" s="28">
        <v>465.9</v>
      </c>
      <c r="D28" s="27" t="s">
        <v>446</v>
      </c>
      <c r="E28" s="27" t="s">
        <v>34</v>
      </c>
      <c r="F28" s="27" t="s">
        <v>454</v>
      </c>
      <c r="G28" s="27" t="s">
        <v>460</v>
      </c>
    </row>
    <row r="29" spans="2:7" ht="16" x14ac:dyDescent="0.2">
      <c r="B29" s="28" t="s">
        <v>410</v>
      </c>
      <c r="C29" s="28">
        <v>345.5</v>
      </c>
      <c r="D29" s="27" t="s">
        <v>446</v>
      </c>
      <c r="E29" s="27" t="s">
        <v>38</v>
      </c>
      <c r="F29" s="27" t="s">
        <v>448</v>
      </c>
      <c r="G29" s="27" t="s">
        <v>460</v>
      </c>
    </row>
    <row r="30" spans="2:7" ht="16" x14ac:dyDescent="0.2">
      <c r="B30" s="28" t="s">
        <v>414</v>
      </c>
      <c r="C30" s="28">
        <v>296.39999999999998</v>
      </c>
      <c r="D30" s="27" t="s">
        <v>446</v>
      </c>
      <c r="E30" s="27" t="s">
        <v>43</v>
      </c>
      <c r="F30" s="27" t="s">
        <v>452</v>
      </c>
      <c r="G30" s="27" t="s">
        <v>460</v>
      </c>
    </row>
    <row r="31" spans="2:7" ht="16" x14ac:dyDescent="0.2">
      <c r="B31" s="28" t="s">
        <v>416</v>
      </c>
      <c r="C31" s="28">
        <v>116.5</v>
      </c>
      <c r="D31" s="27" t="s">
        <v>446</v>
      </c>
      <c r="E31" s="27" t="s">
        <v>453</v>
      </c>
      <c r="F31" s="27" t="s">
        <v>448</v>
      </c>
      <c r="G31" s="27" t="s">
        <v>460</v>
      </c>
    </row>
    <row r="32" spans="2:7" ht="16" x14ac:dyDescent="0.2">
      <c r="B32" s="28" t="s">
        <v>419</v>
      </c>
      <c r="C32" s="28">
        <v>91.2</v>
      </c>
      <c r="D32" s="27" t="s">
        <v>446</v>
      </c>
      <c r="E32" s="27" t="s">
        <v>455</v>
      </c>
      <c r="F32" s="27" t="s">
        <v>448</v>
      </c>
      <c r="G32" s="27" t="s">
        <v>460</v>
      </c>
    </row>
    <row r="33" spans="2:7" ht="16" x14ac:dyDescent="0.2">
      <c r="B33" s="28" t="s">
        <v>412</v>
      </c>
      <c r="C33" s="28" t="s">
        <v>422</v>
      </c>
      <c r="D33" s="27" t="s">
        <v>446</v>
      </c>
      <c r="E33" s="27" t="s">
        <v>455</v>
      </c>
      <c r="F33" s="27" t="s">
        <v>448</v>
      </c>
      <c r="G33" s="27" t="s">
        <v>460</v>
      </c>
    </row>
    <row r="34" spans="2:7" ht="16" x14ac:dyDescent="0.2">
      <c r="B34" s="32" t="s">
        <v>457</v>
      </c>
      <c r="C34" s="28" t="s">
        <v>422</v>
      </c>
      <c r="D34" s="27" t="s">
        <v>447</v>
      </c>
      <c r="E34" s="27" t="s">
        <v>453</v>
      </c>
      <c r="F34" s="27" t="s">
        <v>448</v>
      </c>
      <c r="G34" s="27" t="s">
        <v>460</v>
      </c>
    </row>
    <row r="35" spans="2:7" ht="16" x14ac:dyDescent="0.2">
      <c r="B35" s="28" t="s">
        <v>417</v>
      </c>
      <c r="C35" s="28" t="s">
        <v>422</v>
      </c>
      <c r="D35" s="27" t="s">
        <v>446</v>
      </c>
      <c r="E35" s="27" t="s">
        <v>7</v>
      </c>
      <c r="F35" s="27" t="s">
        <v>449</v>
      </c>
      <c r="G35" s="27" t="s">
        <v>460</v>
      </c>
    </row>
    <row r="36" spans="2:7" ht="16" x14ac:dyDescent="0.2">
      <c r="B36" s="28" t="s">
        <v>418</v>
      </c>
      <c r="C36" s="28" t="s">
        <v>422</v>
      </c>
      <c r="D36" s="27" t="s">
        <v>447</v>
      </c>
      <c r="E36" s="27" t="s">
        <v>7</v>
      </c>
      <c r="F36" s="27" t="s">
        <v>449</v>
      </c>
      <c r="G36" s="27" t="s">
        <v>460</v>
      </c>
    </row>
    <row r="39" spans="2:7" ht="32" x14ac:dyDescent="0.2">
      <c r="B39" s="28" t="s">
        <v>425</v>
      </c>
      <c r="C39" s="28">
        <v>2300</v>
      </c>
      <c r="D39" s="27" t="s">
        <v>447</v>
      </c>
      <c r="E39" s="27" t="s">
        <v>453</v>
      </c>
      <c r="F39" s="27" t="s">
        <v>448</v>
      </c>
      <c r="G39" s="27" t="s">
        <v>142</v>
      </c>
    </row>
    <row r="40" spans="2:7" ht="16" x14ac:dyDescent="0.2">
      <c r="B40" s="28" t="s">
        <v>426</v>
      </c>
      <c r="C40" s="28">
        <v>1355</v>
      </c>
      <c r="D40" s="27" t="s">
        <v>446</v>
      </c>
      <c r="E40" s="27" t="s">
        <v>455</v>
      </c>
      <c r="F40" s="27" t="s">
        <v>448</v>
      </c>
      <c r="G40" s="27" t="s">
        <v>142</v>
      </c>
    </row>
    <row r="41" spans="2:7" ht="16" x14ac:dyDescent="0.2">
      <c r="B41" s="32" t="s">
        <v>424</v>
      </c>
      <c r="C41" s="28">
        <v>362</v>
      </c>
      <c r="D41" s="27" t="s">
        <v>447</v>
      </c>
      <c r="E41" s="27" t="s">
        <v>55</v>
      </c>
      <c r="F41" s="27" t="s">
        <v>448</v>
      </c>
      <c r="G41" s="27" t="s">
        <v>142</v>
      </c>
    </row>
    <row r="42" spans="2:7" ht="16" x14ac:dyDescent="0.2">
      <c r="B42" s="32" t="s">
        <v>423</v>
      </c>
      <c r="C42" s="28" t="s">
        <v>422</v>
      </c>
      <c r="D42" s="27" t="s">
        <v>446</v>
      </c>
      <c r="E42" s="27" t="s">
        <v>34</v>
      </c>
      <c r="F42" s="27" t="s">
        <v>454</v>
      </c>
      <c r="G42" s="27" t="s">
        <v>142</v>
      </c>
    </row>
    <row r="43" spans="2:7" ht="16" x14ac:dyDescent="0.2">
      <c r="B43" s="28" t="s">
        <v>427</v>
      </c>
      <c r="C43" s="28" t="s">
        <v>422</v>
      </c>
      <c r="D43" s="27" t="s">
        <v>447</v>
      </c>
      <c r="E43" s="27" t="s">
        <v>10</v>
      </c>
      <c r="F43" s="27" t="s">
        <v>448</v>
      </c>
      <c r="G43" s="27" t="s">
        <v>142</v>
      </c>
    </row>
    <row r="44" spans="2:7" ht="16" x14ac:dyDescent="0.2">
      <c r="B44" s="28" t="s">
        <v>428</v>
      </c>
      <c r="C44" s="28" t="s">
        <v>422</v>
      </c>
      <c r="D44" s="27" t="s">
        <v>447</v>
      </c>
      <c r="E44" s="27" t="s">
        <v>7</v>
      </c>
      <c r="F44" s="27" t="s">
        <v>449</v>
      </c>
      <c r="G44" s="27" t="s">
        <v>142</v>
      </c>
    </row>
    <row r="45" spans="2:7" ht="16" x14ac:dyDescent="0.2">
      <c r="B45" s="32" t="s">
        <v>429</v>
      </c>
      <c r="C45" s="28" t="s">
        <v>422</v>
      </c>
      <c r="D45" s="27" t="s">
        <v>447</v>
      </c>
      <c r="E45" s="27" t="s">
        <v>34</v>
      </c>
      <c r="F45" s="27" t="s">
        <v>454</v>
      </c>
      <c r="G45" s="27" t="s">
        <v>142</v>
      </c>
    </row>
    <row r="47" spans="2:7" ht="16" x14ac:dyDescent="0.2">
      <c r="B47" s="28" t="s">
        <v>439</v>
      </c>
      <c r="C47" s="28">
        <v>750</v>
      </c>
      <c r="D47" s="27" t="s">
        <v>446</v>
      </c>
      <c r="E47" s="27" t="s">
        <v>453</v>
      </c>
      <c r="F47" s="27" t="s">
        <v>448</v>
      </c>
      <c r="G47" s="27" t="s">
        <v>150</v>
      </c>
    </row>
    <row r="48" spans="2:7" ht="16" x14ac:dyDescent="0.2">
      <c r="B48" s="28" t="s">
        <v>437</v>
      </c>
      <c r="C48" s="28">
        <v>579</v>
      </c>
      <c r="D48" s="27" t="s">
        <v>446</v>
      </c>
      <c r="E48" s="27" t="s">
        <v>51</v>
      </c>
      <c r="F48" s="27" t="s">
        <v>450</v>
      </c>
      <c r="G48" s="27" t="s">
        <v>150</v>
      </c>
    </row>
    <row r="49" spans="2:7" ht="16" x14ac:dyDescent="0.2">
      <c r="B49" s="28" t="s">
        <v>430</v>
      </c>
      <c r="C49" s="28">
        <v>465.9</v>
      </c>
      <c r="D49" s="27" t="s">
        <v>446</v>
      </c>
      <c r="E49" s="27" t="s">
        <v>34</v>
      </c>
      <c r="F49" s="27" t="s">
        <v>454</v>
      </c>
      <c r="G49" s="27" t="s">
        <v>461</v>
      </c>
    </row>
    <row r="50" spans="2:7" ht="16" x14ac:dyDescent="0.2">
      <c r="B50" s="28" t="s">
        <v>434</v>
      </c>
      <c r="C50" s="28">
        <v>465.9</v>
      </c>
      <c r="D50" s="27" t="s">
        <v>446</v>
      </c>
      <c r="E50" s="27" t="s">
        <v>34</v>
      </c>
      <c r="F50" s="27" t="s">
        <v>454</v>
      </c>
      <c r="G50" s="27" t="s">
        <v>461</v>
      </c>
    </row>
    <row r="51" spans="2:7" ht="16" x14ac:dyDescent="0.2">
      <c r="B51" s="32" t="s">
        <v>432</v>
      </c>
      <c r="C51" s="28">
        <v>345.5</v>
      </c>
      <c r="D51" s="27" t="s">
        <v>446</v>
      </c>
      <c r="E51" s="27" t="s">
        <v>38</v>
      </c>
      <c r="F51" s="27" t="s">
        <v>448</v>
      </c>
      <c r="G51" s="27" t="s">
        <v>150</v>
      </c>
    </row>
    <row r="52" spans="2:7" ht="16" x14ac:dyDescent="0.2">
      <c r="B52" s="28" t="s">
        <v>438</v>
      </c>
      <c r="C52" s="28">
        <v>296.39999999999998</v>
      </c>
      <c r="D52" s="27" t="s">
        <v>446</v>
      </c>
      <c r="E52" s="27" t="s">
        <v>43</v>
      </c>
      <c r="F52" s="27" t="s">
        <v>452</v>
      </c>
      <c r="G52" s="27" t="s">
        <v>150</v>
      </c>
    </row>
    <row r="53" spans="2:7" ht="16" x14ac:dyDescent="0.2">
      <c r="B53" s="28" t="s">
        <v>431</v>
      </c>
      <c r="C53" s="28">
        <v>209</v>
      </c>
      <c r="D53" s="27" t="s">
        <v>447</v>
      </c>
      <c r="E53" s="27" t="s">
        <v>51</v>
      </c>
      <c r="F53" s="27" t="s">
        <v>450</v>
      </c>
      <c r="G53" s="27" t="s">
        <v>224</v>
      </c>
    </row>
    <row r="54" spans="2:7" ht="16" x14ac:dyDescent="0.2">
      <c r="B54" s="28" t="s">
        <v>433</v>
      </c>
      <c r="C54" s="28">
        <v>125</v>
      </c>
      <c r="D54" s="27" t="s">
        <v>446</v>
      </c>
      <c r="E54" s="27" t="s">
        <v>455</v>
      </c>
      <c r="F54" s="27" t="s">
        <v>448</v>
      </c>
      <c r="G54" s="27" t="s">
        <v>150</v>
      </c>
    </row>
    <row r="55" spans="2:7" ht="16" x14ac:dyDescent="0.2">
      <c r="B55" s="28" t="s">
        <v>440</v>
      </c>
      <c r="C55" s="28">
        <v>116.5</v>
      </c>
      <c r="D55" s="27" t="s">
        <v>446</v>
      </c>
      <c r="E55" s="27" t="s">
        <v>453</v>
      </c>
      <c r="F55" s="27" t="s">
        <v>448</v>
      </c>
      <c r="G55" s="27" t="s">
        <v>150</v>
      </c>
    </row>
    <row r="56" spans="2:7" ht="16" x14ac:dyDescent="0.2">
      <c r="B56" s="28" t="s">
        <v>445</v>
      </c>
      <c r="C56" s="28">
        <v>91.2</v>
      </c>
      <c r="D56" s="27" t="s">
        <v>446</v>
      </c>
      <c r="E56" s="27" t="s">
        <v>455</v>
      </c>
      <c r="F56" s="27" t="s">
        <v>448</v>
      </c>
      <c r="G56" s="27" t="s">
        <v>150</v>
      </c>
    </row>
    <row r="57" spans="2:7" ht="16" x14ac:dyDescent="0.2">
      <c r="B57" s="28" t="s">
        <v>436</v>
      </c>
      <c r="C57" s="28" t="s">
        <v>422</v>
      </c>
      <c r="D57" s="27" t="s">
        <v>446</v>
      </c>
      <c r="E57" s="27" t="s">
        <v>455</v>
      </c>
      <c r="F57" s="27" t="s">
        <v>448</v>
      </c>
      <c r="G57" s="27" t="s">
        <v>150</v>
      </c>
    </row>
    <row r="58" spans="2:7" ht="23" customHeight="1" x14ac:dyDescent="0.2">
      <c r="B58" s="28" t="s">
        <v>459</v>
      </c>
      <c r="C58" s="28" t="s">
        <v>422</v>
      </c>
      <c r="D58" s="27" t="s">
        <v>446</v>
      </c>
      <c r="E58" s="27" t="s">
        <v>7</v>
      </c>
      <c r="F58" s="27" t="s">
        <v>449</v>
      </c>
      <c r="G58" s="27" t="s">
        <v>150</v>
      </c>
    </row>
    <row r="59" spans="2:7" ht="16" x14ac:dyDescent="0.2">
      <c r="B59" s="28" t="s">
        <v>435</v>
      </c>
      <c r="C59" s="28" t="s">
        <v>422</v>
      </c>
      <c r="D59" s="27" t="s">
        <v>446</v>
      </c>
      <c r="E59" s="27" t="s">
        <v>43</v>
      </c>
      <c r="F59" s="27" t="s">
        <v>452</v>
      </c>
      <c r="G59" s="27" t="s">
        <v>150</v>
      </c>
    </row>
    <row r="60" spans="2:7" ht="16" x14ac:dyDescent="0.2">
      <c r="B60" s="28" t="s">
        <v>441</v>
      </c>
      <c r="C60" s="28" t="s">
        <v>422</v>
      </c>
      <c r="D60" s="27" t="s">
        <v>447</v>
      </c>
      <c r="E60" s="27" t="s">
        <v>453</v>
      </c>
      <c r="F60" s="27" t="s">
        <v>448</v>
      </c>
      <c r="G60" s="27" t="s">
        <v>150</v>
      </c>
    </row>
    <row r="61" spans="2:7" ht="16" x14ac:dyDescent="0.2">
      <c r="B61" s="28" t="s">
        <v>442</v>
      </c>
      <c r="C61" s="28" t="s">
        <v>422</v>
      </c>
      <c r="D61" s="27" t="s">
        <v>446</v>
      </c>
      <c r="E61" s="27" t="s">
        <v>7</v>
      </c>
      <c r="F61" s="27" t="s">
        <v>449</v>
      </c>
      <c r="G61" s="27" t="s">
        <v>150</v>
      </c>
    </row>
    <row r="62" spans="2:7" ht="16" x14ac:dyDescent="0.2">
      <c r="B62" s="28" t="s">
        <v>443</v>
      </c>
      <c r="C62" s="28" t="s">
        <v>422</v>
      </c>
      <c r="D62" s="27" t="s">
        <v>447</v>
      </c>
      <c r="E62" s="27" t="s">
        <v>34</v>
      </c>
      <c r="F62" s="27" t="s">
        <v>454</v>
      </c>
      <c r="G62" s="27" t="s">
        <v>150</v>
      </c>
    </row>
    <row r="63" spans="2:7" ht="16" x14ac:dyDescent="0.2">
      <c r="B63" s="28" t="s">
        <v>444</v>
      </c>
      <c r="C63" s="28" t="s">
        <v>422</v>
      </c>
      <c r="D63" s="27" t="s">
        <v>447</v>
      </c>
      <c r="E63" s="27" t="s">
        <v>7</v>
      </c>
      <c r="F63" s="27" t="s">
        <v>449</v>
      </c>
      <c r="G63" s="27" t="s">
        <v>150</v>
      </c>
    </row>
  </sheetData>
  <sortState xmlns:xlrd2="http://schemas.microsoft.com/office/spreadsheetml/2017/richdata2" ref="B25:C35">
    <sortCondition descending="1" ref="C25:C35"/>
  </sortState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ED1C-B944-434C-9CB5-92EC201E1287}">
  <dimension ref="B2:G57"/>
  <sheetViews>
    <sheetView topLeftCell="A5" zoomScale="110" zoomScaleNormal="110" workbookViewId="0">
      <selection activeCell="B56" sqref="B56"/>
    </sheetView>
  </sheetViews>
  <sheetFormatPr baseColWidth="10" defaultColWidth="10.83203125" defaultRowHeight="15" x14ac:dyDescent="0.2"/>
  <cols>
    <col min="1" max="1" width="10.83203125" style="27"/>
    <col min="2" max="2" width="91.33203125" style="27" bestFit="1" customWidth="1"/>
    <col min="3" max="16384" width="10.83203125" style="27"/>
  </cols>
  <sheetData>
    <row r="2" spans="2:7" ht="16" x14ac:dyDescent="0.2">
      <c r="B2" s="32" t="s">
        <v>421</v>
      </c>
      <c r="C2" s="31">
        <v>5300</v>
      </c>
      <c r="D2" s="27" t="s">
        <v>446</v>
      </c>
      <c r="E2" s="27" t="s">
        <v>72</v>
      </c>
      <c r="F2" s="27" t="s">
        <v>448</v>
      </c>
      <c r="G2" s="27" t="s">
        <v>6</v>
      </c>
    </row>
    <row r="3" spans="2:7" ht="16" x14ac:dyDescent="0.2">
      <c r="B3" s="32" t="s">
        <v>462</v>
      </c>
      <c r="C3" s="28">
        <v>5000</v>
      </c>
      <c r="D3" s="27" t="s">
        <v>446</v>
      </c>
      <c r="E3" s="27" t="s">
        <v>47</v>
      </c>
      <c r="F3" s="27" t="s">
        <v>448</v>
      </c>
      <c r="G3" s="27" t="s">
        <v>6</v>
      </c>
    </row>
    <row r="4" spans="2:7" ht="16" x14ac:dyDescent="0.2">
      <c r="B4" s="34" t="s">
        <v>463</v>
      </c>
      <c r="C4" s="29">
        <v>4800</v>
      </c>
      <c r="D4" s="27" t="s">
        <v>446</v>
      </c>
      <c r="E4" s="27" t="s">
        <v>47</v>
      </c>
      <c r="F4" s="33" t="s">
        <v>448</v>
      </c>
      <c r="G4" s="27" t="s">
        <v>85</v>
      </c>
    </row>
    <row r="5" spans="2:7" ht="16" x14ac:dyDescent="0.2">
      <c r="B5" s="34" t="s">
        <v>464</v>
      </c>
      <c r="C5" s="29">
        <v>3500</v>
      </c>
      <c r="D5" s="27" t="s">
        <v>446</v>
      </c>
      <c r="E5" s="27" t="s">
        <v>47</v>
      </c>
      <c r="F5" s="33" t="s">
        <v>448</v>
      </c>
      <c r="G5" s="27" t="s">
        <v>6</v>
      </c>
    </row>
    <row r="6" spans="2:7" ht="16" x14ac:dyDescent="0.2">
      <c r="B6" s="34" t="s">
        <v>465</v>
      </c>
      <c r="C6" s="29">
        <v>2600</v>
      </c>
      <c r="D6" s="27" t="s">
        <v>446</v>
      </c>
      <c r="E6" s="27" t="s">
        <v>14</v>
      </c>
      <c r="F6" s="33" t="s">
        <v>448</v>
      </c>
      <c r="G6" s="27" t="s">
        <v>6</v>
      </c>
    </row>
    <row r="7" spans="2:7" ht="16" x14ac:dyDescent="0.2">
      <c r="B7" s="28" t="s">
        <v>466</v>
      </c>
      <c r="C7" s="29">
        <v>2500</v>
      </c>
      <c r="D7" s="27" t="s">
        <v>446</v>
      </c>
      <c r="E7" s="27" t="s">
        <v>47</v>
      </c>
      <c r="F7" s="33" t="s">
        <v>448</v>
      </c>
      <c r="G7" s="27" t="s">
        <v>6</v>
      </c>
    </row>
    <row r="8" spans="2:7" ht="16" x14ac:dyDescent="0.2">
      <c r="B8" s="34" t="s">
        <v>467</v>
      </c>
      <c r="C8" s="29">
        <v>2500</v>
      </c>
      <c r="D8" s="27" t="s">
        <v>446</v>
      </c>
      <c r="E8" s="27" t="s">
        <v>90</v>
      </c>
      <c r="F8" s="27" t="s">
        <v>451</v>
      </c>
      <c r="G8" s="27" t="s">
        <v>6</v>
      </c>
    </row>
    <row r="9" spans="2:7" ht="16" x14ac:dyDescent="0.2">
      <c r="B9" s="34" t="s">
        <v>468</v>
      </c>
      <c r="C9" s="29">
        <v>2450</v>
      </c>
      <c r="D9" s="27" t="s">
        <v>447</v>
      </c>
      <c r="E9" s="27" t="s">
        <v>22</v>
      </c>
      <c r="F9" s="27" t="s">
        <v>448</v>
      </c>
      <c r="G9" s="27" t="s">
        <v>6</v>
      </c>
    </row>
    <row r="10" spans="2:7" ht="16" x14ac:dyDescent="0.2">
      <c r="B10" s="28" t="s">
        <v>469</v>
      </c>
      <c r="C10" s="29">
        <v>1600</v>
      </c>
      <c r="D10" s="27" t="s">
        <v>447</v>
      </c>
      <c r="E10" s="27" t="s">
        <v>10</v>
      </c>
      <c r="F10" s="27" t="s">
        <v>448</v>
      </c>
      <c r="G10" s="27" t="s">
        <v>6</v>
      </c>
    </row>
    <row r="11" spans="2:7" ht="16" x14ac:dyDescent="0.2">
      <c r="B11" s="34" t="s">
        <v>470</v>
      </c>
      <c r="C11" s="29">
        <v>1571</v>
      </c>
      <c r="D11" s="27" t="s">
        <v>446</v>
      </c>
      <c r="E11" s="27" t="s">
        <v>41</v>
      </c>
      <c r="F11" s="27" t="s">
        <v>451</v>
      </c>
      <c r="G11" s="27" t="s">
        <v>85</v>
      </c>
    </row>
    <row r="12" spans="2:7" ht="16" x14ac:dyDescent="0.2">
      <c r="B12" s="34" t="s">
        <v>471</v>
      </c>
      <c r="C12" s="29">
        <v>1530</v>
      </c>
      <c r="D12" s="27" t="s">
        <v>446</v>
      </c>
      <c r="E12" s="27" t="s">
        <v>14</v>
      </c>
      <c r="F12" s="27" t="s">
        <v>448</v>
      </c>
      <c r="G12" s="27" t="s">
        <v>85</v>
      </c>
    </row>
    <row r="13" spans="2:7" ht="16" x14ac:dyDescent="0.2">
      <c r="B13" s="34" t="s">
        <v>472</v>
      </c>
      <c r="C13" s="29">
        <v>1400</v>
      </c>
      <c r="D13" s="27" t="s">
        <v>446</v>
      </c>
      <c r="E13" s="27" t="s">
        <v>55</v>
      </c>
      <c r="F13" s="27" t="s">
        <v>448</v>
      </c>
      <c r="G13" s="27" t="s">
        <v>6</v>
      </c>
    </row>
    <row r="15" spans="2:7" ht="16" x14ac:dyDescent="0.2">
      <c r="B15" s="28" t="s">
        <v>477</v>
      </c>
      <c r="C15" s="28">
        <v>431</v>
      </c>
      <c r="D15" s="27" t="s">
        <v>446</v>
      </c>
      <c r="E15" s="27" t="s">
        <v>72</v>
      </c>
      <c r="F15" s="27" t="s">
        <v>448</v>
      </c>
      <c r="G15" s="27" t="s">
        <v>21</v>
      </c>
    </row>
    <row r="16" spans="2:7" ht="16" x14ac:dyDescent="0.2">
      <c r="B16" s="28" t="s">
        <v>478</v>
      </c>
      <c r="C16" s="28">
        <v>126</v>
      </c>
      <c r="D16" s="27" t="s">
        <v>446</v>
      </c>
      <c r="E16" s="27" t="s">
        <v>51</v>
      </c>
      <c r="F16" s="27" t="s">
        <v>450</v>
      </c>
      <c r="G16" s="27" t="s">
        <v>21</v>
      </c>
    </row>
    <row r="17" spans="2:7" ht="16" x14ac:dyDescent="0.2">
      <c r="B17" s="28" t="s">
        <v>479</v>
      </c>
      <c r="C17" s="28">
        <v>90</v>
      </c>
      <c r="D17" s="27" t="s">
        <v>446</v>
      </c>
      <c r="E17" s="27" t="s">
        <v>453</v>
      </c>
      <c r="F17" s="27" t="s">
        <v>448</v>
      </c>
      <c r="G17" s="27" t="s">
        <v>21</v>
      </c>
    </row>
    <row r="18" spans="2:7" ht="16" x14ac:dyDescent="0.2">
      <c r="B18" s="28" t="s">
        <v>480</v>
      </c>
      <c r="C18" s="28">
        <v>12.7</v>
      </c>
      <c r="D18" s="27" t="s">
        <v>447</v>
      </c>
      <c r="E18" s="27" t="s">
        <v>456</v>
      </c>
      <c r="F18" s="27" t="s">
        <v>449</v>
      </c>
      <c r="G18" s="27" t="s">
        <v>21</v>
      </c>
    </row>
    <row r="19" spans="2:7" ht="16" x14ac:dyDescent="0.2">
      <c r="B19" s="32" t="s">
        <v>481</v>
      </c>
      <c r="C19" s="28" t="s">
        <v>422</v>
      </c>
      <c r="D19" s="27" t="s">
        <v>447</v>
      </c>
      <c r="E19" s="27" t="s">
        <v>47</v>
      </c>
      <c r="F19" s="27" t="s">
        <v>448</v>
      </c>
      <c r="G19" s="27" t="s">
        <v>21</v>
      </c>
    </row>
    <row r="22" spans="2:7" ht="16" x14ac:dyDescent="0.2">
      <c r="B22" s="32" t="s">
        <v>482</v>
      </c>
      <c r="C22" s="28">
        <v>750</v>
      </c>
      <c r="D22" s="27" t="s">
        <v>446</v>
      </c>
      <c r="E22" s="27" t="s">
        <v>453</v>
      </c>
      <c r="F22" s="27" t="s">
        <v>448</v>
      </c>
      <c r="G22" s="27" t="s">
        <v>473</v>
      </c>
    </row>
    <row r="23" spans="2:7" ht="16" x14ac:dyDescent="0.2">
      <c r="B23" s="32" t="s">
        <v>483</v>
      </c>
      <c r="C23" s="28">
        <v>579</v>
      </c>
      <c r="D23" s="27" t="s">
        <v>446</v>
      </c>
      <c r="E23" s="27" t="s">
        <v>51</v>
      </c>
      <c r="F23" s="27" t="s">
        <v>450</v>
      </c>
      <c r="G23" s="27" t="s">
        <v>474</v>
      </c>
    </row>
    <row r="24" spans="2:7" ht="16" x14ac:dyDescent="0.2">
      <c r="B24" s="28" t="s">
        <v>434</v>
      </c>
      <c r="C24" s="28">
        <v>465.9</v>
      </c>
      <c r="D24" s="27" t="s">
        <v>446</v>
      </c>
      <c r="E24" s="27" t="s">
        <v>34</v>
      </c>
      <c r="F24" s="27" t="s">
        <v>454</v>
      </c>
      <c r="G24" s="27" t="s">
        <v>475</v>
      </c>
    </row>
    <row r="25" spans="2:7" ht="16" x14ac:dyDescent="0.2">
      <c r="B25" s="32" t="s">
        <v>432</v>
      </c>
      <c r="C25" s="28">
        <v>345.5</v>
      </c>
      <c r="D25" s="27" t="s">
        <v>446</v>
      </c>
      <c r="E25" s="27" t="s">
        <v>38</v>
      </c>
      <c r="F25" s="27" t="s">
        <v>448</v>
      </c>
      <c r="G25" s="27" t="s">
        <v>476</v>
      </c>
    </row>
    <row r="26" spans="2:7" ht="16" x14ac:dyDescent="0.2">
      <c r="B26" s="32" t="s">
        <v>484</v>
      </c>
      <c r="C26" s="28">
        <v>296.39999999999998</v>
      </c>
      <c r="D26" s="27" t="s">
        <v>446</v>
      </c>
      <c r="E26" s="27" t="s">
        <v>43</v>
      </c>
      <c r="F26" s="27" t="s">
        <v>452</v>
      </c>
      <c r="G26" s="27" t="s">
        <v>476</v>
      </c>
    </row>
    <row r="27" spans="2:7" ht="16" x14ac:dyDescent="0.2">
      <c r="B27" s="28" t="s">
        <v>440</v>
      </c>
      <c r="C27" s="28">
        <v>116.5</v>
      </c>
      <c r="D27" s="27" t="s">
        <v>446</v>
      </c>
      <c r="E27" s="27" t="s">
        <v>453</v>
      </c>
      <c r="F27" s="27" t="s">
        <v>448</v>
      </c>
      <c r="G27" s="27" t="s">
        <v>476</v>
      </c>
    </row>
    <row r="28" spans="2:7" ht="16" x14ac:dyDescent="0.2">
      <c r="B28" s="32" t="s">
        <v>485</v>
      </c>
      <c r="C28" s="28">
        <v>91.2</v>
      </c>
      <c r="D28" s="27" t="s">
        <v>446</v>
      </c>
      <c r="E28" s="27" t="s">
        <v>455</v>
      </c>
      <c r="F28" s="27" t="s">
        <v>448</v>
      </c>
      <c r="G28" s="27" t="s">
        <v>476</v>
      </c>
    </row>
    <row r="29" spans="2:7" ht="16" x14ac:dyDescent="0.2">
      <c r="B29" s="28" t="s">
        <v>436</v>
      </c>
      <c r="C29" s="28" t="s">
        <v>422</v>
      </c>
      <c r="D29" s="27" t="s">
        <v>446</v>
      </c>
      <c r="E29" s="27" t="s">
        <v>455</v>
      </c>
      <c r="F29" s="27" t="s">
        <v>448</v>
      </c>
      <c r="G29" s="27" t="s">
        <v>476</v>
      </c>
    </row>
    <row r="30" spans="2:7" ht="16" x14ac:dyDescent="0.2">
      <c r="B30" s="28" t="s">
        <v>441</v>
      </c>
      <c r="C30" s="28" t="s">
        <v>422</v>
      </c>
      <c r="D30" s="27" t="s">
        <v>447</v>
      </c>
      <c r="E30" s="27" t="s">
        <v>453</v>
      </c>
      <c r="F30" s="27" t="s">
        <v>448</v>
      </c>
      <c r="G30" s="27" t="s">
        <v>476</v>
      </c>
    </row>
    <row r="31" spans="2:7" ht="16" x14ac:dyDescent="0.2">
      <c r="B31" s="28" t="s">
        <v>442</v>
      </c>
      <c r="C31" s="28" t="s">
        <v>422</v>
      </c>
      <c r="D31" s="27" t="s">
        <v>446</v>
      </c>
      <c r="E31" s="27" t="s">
        <v>7</v>
      </c>
      <c r="F31" s="27" t="s">
        <v>449</v>
      </c>
      <c r="G31" s="27" t="s">
        <v>476</v>
      </c>
    </row>
    <row r="32" spans="2:7" ht="16" x14ac:dyDescent="0.2">
      <c r="B32" s="28" t="s">
        <v>444</v>
      </c>
      <c r="C32" s="28" t="s">
        <v>422</v>
      </c>
      <c r="D32" s="27" t="s">
        <v>447</v>
      </c>
      <c r="E32" s="27" t="s">
        <v>7</v>
      </c>
      <c r="F32" s="27" t="s">
        <v>449</v>
      </c>
      <c r="G32" s="27" t="s">
        <v>460</v>
      </c>
    </row>
    <row r="35" spans="2:7" ht="16" x14ac:dyDescent="0.2">
      <c r="B35" s="28" t="s">
        <v>425</v>
      </c>
      <c r="C35" s="28">
        <v>2300</v>
      </c>
      <c r="D35" s="27" t="s">
        <v>447</v>
      </c>
      <c r="E35" s="27" t="s">
        <v>453</v>
      </c>
      <c r="F35" s="27" t="s">
        <v>448</v>
      </c>
      <c r="G35" s="27" t="s">
        <v>142</v>
      </c>
    </row>
    <row r="36" spans="2:7" ht="16" x14ac:dyDescent="0.2">
      <c r="B36" s="28" t="s">
        <v>426</v>
      </c>
      <c r="C36" s="28">
        <v>1355</v>
      </c>
      <c r="D36" s="27" t="s">
        <v>446</v>
      </c>
      <c r="E36" s="27" t="s">
        <v>455</v>
      </c>
      <c r="F36" s="27" t="s">
        <v>448</v>
      </c>
      <c r="G36" s="27" t="s">
        <v>142</v>
      </c>
    </row>
    <row r="37" spans="2:7" ht="16" x14ac:dyDescent="0.2">
      <c r="B37" s="32" t="s">
        <v>424</v>
      </c>
      <c r="C37" s="28">
        <v>362</v>
      </c>
      <c r="D37" s="27" t="s">
        <v>447</v>
      </c>
      <c r="E37" s="27" t="s">
        <v>55</v>
      </c>
      <c r="F37" s="27" t="s">
        <v>448</v>
      </c>
      <c r="G37" s="27" t="s">
        <v>142</v>
      </c>
    </row>
    <row r="38" spans="2:7" ht="16" x14ac:dyDescent="0.2">
      <c r="B38" s="32" t="s">
        <v>423</v>
      </c>
      <c r="C38" s="28" t="s">
        <v>422</v>
      </c>
      <c r="D38" s="27" t="s">
        <v>446</v>
      </c>
      <c r="E38" s="27" t="s">
        <v>34</v>
      </c>
      <c r="F38" s="27" t="s">
        <v>454</v>
      </c>
      <c r="G38" s="27" t="s">
        <v>142</v>
      </c>
    </row>
    <row r="39" spans="2:7" ht="16" x14ac:dyDescent="0.2">
      <c r="B39" s="28" t="s">
        <v>427</v>
      </c>
      <c r="C39" s="28" t="s">
        <v>422</v>
      </c>
      <c r="D39" s="27" t="s">
        <v>447</v>
      </c>
      <c r="E39" s="27" t="s">
        <v>10</v>
      </c>
      <c r="F39" s="27" t="s">
        <v>448</v>
      </c>
      <c r="G39" s="27" t="s">
        <v>142</v>
      </c>
    </row>
    <row r="40" spans="2:7" ht="16" x14ac:dyDescent="0.2">
      <c r="B40" s="28" t="s">
        <v>428</v>
      </c>
      <c r="C40" s="28" t="s">
        <v>422</v>
      </c>
      <c r="D40" s="27" t="s">
        <v>447</v>
      </c>
      <c r="E40" s="27" t="s">
        <v>7</v>
      </c>
      <c r="F40" s="27" t="s">
        <v>449</v>
      </c>
      <c r="G40" s="27" t="s">
        <v>142</v>
      </c>
    </row>
    <row r="41" spans="2:7" ht="16" x14ac:dyDescent="0.2">
      <c r="B41" s="32" t="s">
        <v>429</v>
      </c>
      <c r="C41" s="28" t="s">
        <v>422</v>
      </c>
      <c r="D41" s="27" t="s">
        <v>447</v>
      </c>
      <c r="E41" s="27" t="s">
        <v>34</v>
      </c>
      <c r="F41" s="27" t="s">
        <v>454</v>
      </c>
      <c r="G41" s="27" t="s">
        <v>142</v>
      </c>
    </row>
    <row r="43" spans="2:7" x14ac:dyDescent="0.2">
      <c r="B43" s="28"/>
      <c r="C43" s="28"/>
    </row>
    <row r="44" spans="2:7" ht="16" x14ac:dyDescent="0.2">
      <c r="B44" s="28" t="s">
        <v>486</v>
      </c>
      <c r="C44" s="28">
        <v>209</v>
      </c>
      <c r="D44" s="27" t="s">
        <v>447</v>
      </c>
      <c r="E44" s="27" t="s">
        <v>51</v>
      </c>
      <c r="F44" s="27" t="s">
        <v>450</v>
      </c>
      <c r="G44" s="27" t="s">
        <v>224</v>
      </c>
    </row>
    <row r="45" spans="2:7" ht="16" x14ac:dyDescent="0.2">
      <c r="B45" s="28" t="s">
        <v>433</v>
      </c>
      <c r="C45" s="28">
        <v>125</v>
      </c>
      <c r="D45" s="27" t="s">
        <v>446</v>
      </c>
      <c r="E45" s="27" t="s">
        <v>455</v>
      </c>
      <c r="F45" s="27" t="s">
        <v>448</v>
      </c>
      <c r="G45" s="27" t="s">
        <v>150</v>
      </c>
    </row>
    <row r="46" spans="2:7" ht="16" x14ac:dyDescent="0.2">
      <c r="B46" s="28" t="s">
        <v>458</v>
      </c>
      <c r="C46" s="28" t="s">
        <v>422</v>
      </c>
      <c r="D46" s="27" t="s">
        <v>446</v>
      </c>
      <c r="E46" s="27" t="s">
        <v>7</v>
      </c>
      <c r="F46" s="27" t="s">
        <v>449</v>
      </c>
      <c r="G46" s="27" t="s">
        <v>150</v>
      </c>
    </row>
    <row r="47" spans="2:7" ht="16" x14ac:dyDescent="0.2">
      <c r="B47" s="28" t="s">
        <v>435</v>
      </c>
      <c r="C47" s="28" t="s">
        <v>422</v>
      </c>
      <c r="D47" s="27" t="s">
        <v>446</v>
      </c>
      <c r="E47" s="27" t="s">
        <v>43</v>
      </c>
      <c r="F47" s="27" t="s">
        <v>452</v>
      </c>
      <c r="G47" s="27" t="s">
        <v>150</v>
      </c>
    </row>
    <row r="48" spans="2:7" ht="16" x14ac:dyDescent="0.2">
      <c r="B48" s="28" t="s">
        <v>443</v>
      </c>
      <c r="C48" s="28" t="s">
        <v>422</v>
      </c>
      <c r="D48" s="27" t="s">
        <v>447</v>
      </c>
      <c r="E48" s="27" t="s">
        <v>34</v>
      </c>
      <c r="F48" s="27" t="s">
        <v>454</v>
      </c>
      <c r="G48" s="27" t="s">
        <v>150</v>
      </c>
    </row>
    <row r="49" spans="2:7" ht="16" x14ac:dyDescent="0.2">
      <c r="B49" s="28" t="s">
        <v>444</v>
      </c>
      <c r="C49" s="28" t="s">
        <v>422</v>
      </c>
      <c r="D49" s="27" t="s">
        <v>447</v>
      </c>
      <c r="E49" s="27" t="s">
        <v>7</v>
      </c>
      <c r="F49" s="27" t="s">
        <v>449</v>
      </c>
      <c r="G49" s="27" t="s">
        <v>150</v>
      </c>
    </row>
    <row r="53" spans="2:7" x14ac:dyDescent="0.2">
      <c r="B53" s="27" t="s">
        <v>488</v>
      </c>
    </row>
    <row r="55" spans="2:7" x14ac:dyDescent="0.2">
      <c r="B55" s="27" t="s">
        <v>489</v>
      </c>
    </row>
    <row r="56" spans="2:7" x14ac:dyDescent="0.2">
      <c r="B56" s="27" t="s">
        <v>490</v>
      </c>
    </row>
    <row r="57" spans="2:7" x14ac:dyDescent="0.2">
      <c r="B57" s="27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PRINCIPALES PROYECTOS 2022</vt:lpstr>
      <vt:lpstr>ANALISIS REGIONES TOP 10</vt:lpstr>
      <vt:lpstr>Solo TOP 10</vt:lpstr>
      <vt:lpstr>Report W. by Capex</vt:lpstr>
      <vt:lpstr>REPORT WEIR (Bruto)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R. Osores Minaya</dc:creator>
  <cp:lastModifiedBy>Microsoft Office User</cp:lastModifiedBy>
  <dcterms:created xsi:type="dcterms:W3CDTF">2022-06-22T19:58:42Z</dcterms:created>
  <dcterms:modified xsi:type="dcterms:W3CDTF">2023-02-01T15:05:53Z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{1ED9DD30-A1C6-4FCC-AF16-6C61E3F390A7}</vt:lpwstr>
  </property>
</Properties>
</file>