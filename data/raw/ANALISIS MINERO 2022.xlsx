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lvarado/Desktop/FINAL Market Assesment FINAL/"/>
    </mc:Choice>
  </mc:AlternateContent>
  <xr:revisionPtr revIDLastSave="0" documentId="13_ncr:1_{C03F9AF9-F139-724F-B28C-6754AE0D0B0D}" xr6:coauthVersionLast="47" xr6:coauthVersionMax="47" xr10:uidLastSave="{00000000-0000-0000-0000-000000000000}"/>
  <bookViews>
    <workbookView xWindow="4640" yWindow="6420" windowWidth="24760" windowHeight="17760" xr2:uid="{F7C891ED-0A17-4610-B7C8-0A559633B59A}"/>
  </bookViews>
  <sheets>
    <sheet name="Hoja2" sheetId="9" r:id="rId1"/>
    <sheet name="Hoja1" sheetId="8" r:id="rId2"/>
    <sheet name="Hoja6" sheetId="6" r:id="rId3"/>
    <sheet name="MACRO" sheetId="1" r:id="rId4"/>
    <sheet name="2019" sheetId="2" r:id="rId5"/>
    <sheet name="2020" sheetId="3" r:id="rId6"/>
    <sheet name="2021" sheetId="4" r:id="rId7"/>
    <sheet name="2022" sheetId="5" r:id="rId8"/>
    <sheet name="Top 15 (Presente)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6" l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3" i="6"/>
  <c r="C19" i="1"/>
  <c r="C29" i="7"/>
  <c r="C28" i="7"/>
  <c r="G6" i="2"/>
  <c r="D29" i="7" l="1"/>
  <c r="D24" i="7" s="1"/>
</calcChain>
</file>

<file path=xl/sharedStrings.xml><?xml version="1.0" encoding="utf-8"?>
<sst xmlns="http://schemas.openxmlformats.org/spreadsheetml/2006/main" count="355" uniqueCount="98">
  <si>
    <t>Evolución anual de inversiones mineras</t>
  </si>
  <si>
    <t xml:space="preserve">US$ Millones </t>
  </si>
  <si>
    <t>*Incluye inversiones de: Planta de beneficios, desarrollo y preparación, equipamiento minero, exploración y otros.</t>
  </si>
  <si>
    <t>Moquegua</t>
  </si>
  <si>
    <t>Ica</t>
  </si>
  <si>
    <t>Junin</t>
  </si>
  <si>
    <t>Arequipa</t>
  </si>
  <si>
    <t>Ancash</t>
  </si>
  <si>
    <t>Cajamarca</t>
  </si>
  <si>
    <t>Apurimac</t>
  </si>
  <si>
    <t>Tacna</t>
  </si>
  <si>
    <t>Lima</t>
  </si>
  <si>
    <t>La Libertad</t>
  </si>
  <si>
    <t>Cusco</t>
  </si>
  <si>
    <t>Puno</t>
  </si>
  <si>
    <t>Pasco</t>
  </si>
  <si>
    <t>Ayacucho</t>
  </si>
  <si>
    <t>Huancavelica</t>
  </si>
  <si>
    <t>Piura</t>
  </si>
  <si>
    <t>Madre de Dios</t>
  </si>
  <si>
    <t>Amazonas</t>
  </si>
  <si>
    <t>Callao</t>
  </si>
  <si>
    <t>San Martin</t>
  </si>
  <si>
    <t>Lambayeque</t>
  </si>
  <si>
    <t>Loreto</t>
  </si>
  <si>
    <t>Tumbes</t>
  </si>
  <si>
    <t>Lugar</t>
  </si>
  <si>
    <t>Inversion (En US$MM)</t>
  </si>
  <si>
    <t>* Información de Titulares mineros y ajustada a través de ESTAMIN</t>
  </si>
  <si>
    <t>* Fecha de actualización 22 de Enero de 2020</t>
  </si>
  <si>
    <t>* Fecha de actualización 21 de Enero de 2021</t>
  </si>
  <si>
    <t>Huanuco</t>
  </si>
  <si>
    <t>* Fecha de actualización 28 de Enero de 2022</t>
  </si>
  <si>
    <t>Ucayali</t>
  </si>
  <si>
    <t>*Fuente Histórico Proyecta MINEM 2022</t>
  </si>
  <si>
    <t xml:space="preserve">El Top 10 representa cerca del </t>
  </si>
  <si>
    <t>AMAZONAS</t>
  </si>
  <si>
    <t>PIURA</t>
  </si>
  <si>
    <t>HUANICO</t>
  </si>
  <si>
    <t>LAMBAYEQUE</t>
  </si>
  <si>
    <t>VISUALIZACION INFOGRAFICA</t>
  </si>
  <si>
    <t>COMPLETAR INVERSIONES</t>
  </si>
  <si>
    <t>TENDENCIAS DE INVERSION</t>
  </si>
  <si>
    <t>PLATA DE INVERSIÓN DE MINAS COINCIDE?</t>
  </si>
  <si>
    <t>ARIABLES PARA LA TOMA DE DECISION PARA 2023</t>
  </si>
  <si>
    <t>•</t>
  </si>
  <si>
    <t>EMPRESAS/PROYECTOS CON CAPEX</t>
  </si>
  <si>
    <t>EMPRESAS/PROYECTOS CON INVERSION REGIONAL</t>
  </si>
  <si>
    <t>TIEMPO DE VIDA (DETERMINA CORTO, MEDIANO , LP)</t>
  </si>
  <si>
    <t>ETAPA (DETERMINA CORTO MEDIANO Y LP</t>
  </si>
  <si>
    <t>EQUIPOS (VERIFICAR SI CUENTA CON EQUIPOS MAJOR DIGGER SI/NO)</t>
  </si>
  <si>
    <t>DIVIDIRLO POR CONSTRUCCION/EXPLORACION</t>
  </si>
  <si>
    <t>TAJO ABIERTO/ SUBTERRANEA</t>
  </si>
  <si>
    <t>CRITERIOS/CVARIABLES FILTROS DE ANALISIS</t>
  </si>
  <si>
    <t>CONTRASTAR NOTAS DE REPORTE WEIR  SI PUEDO SACAR MAS INFO VIDA UTIL ,ETC</t>
  </si>
  <si>
    <t>TODAVIA NO PRIORIDAD EN ANALIS</t>
  </si>
  <si>
    <t>ID1</t>
  </si>
  <si>
    <t>Código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</si>
  <si>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</si>
  <si>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</si>
  <si>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</si>
  <si>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</si>
  <si>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</si>
  <si>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</si>
  <si>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</si>
  <si>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</si>
  <si>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</si>
  <si>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</si>
  <si>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</si>
  <si>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</si>
  <si>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</si>
  <si>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</si>
  <si>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</si>
  <si>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</si>
  <si>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</si>
  <si>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</si>
  <si>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</si>
  <si>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</si>
  <si>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</si>
  <si>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</si>
  <si>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</si>
  <si>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Region</t>
  </si>
  <si>
    <t xml:space="preserve">GRAFICO TENDENCIA </t>
  </si>
  <si>
    <t>.+ TABLA</t>
  </si>
  <si>
    <t>Años</t>
  </si>
  <si>
    <t>ok</t>
  </si>
  <si>
    <t>Ranking</t>
  </si>
  <si>
    <t>2019</t>
  </si>
  <si>
    <t>2020</t>
  </si>
  <si>
    <t>2021</t>
  </si>
  <si>
    <t>2022</t>
  </si>
  <si>
    <t>Year</t>
  </si>
  <si>
    <t>Status</t>
  </si>
  <si>
    <t>*Includes investments of: Benefit plant, development and preparation, mining equipment, exploration and others.</t>
  </si>
  <si>
    <t>*Source: Proyecta MINEM 2022</t>
  </si>
  <si>
    <t>* Fecha de actualización 30 de Noviembre de 2022</t>
  </si>
  <si>
    <t>Investment (2019- Oct 2022)</t>
  </si>
  <si>
    <t>Inversión (2019-Nov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</si>
</sst>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0" fontId="4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3" xfId="1" applyFont="1" applyFill="1" applyBorder="1" applyAlignment="1">
      <alignment horizontal="center"/>
    </xf>
    <xf numFmtId="43" fontId="0" fillId="0" borderId="1" xfId="1" applyFont="1" applyBorder="1"/>
    <xf numFmtId="43" fontId="0" fillId="0" borderId="0" xfId="1" applyFont="1"/>
    <xf numFmtId="43" fontId="0" fillId="0" borderId="0" xfId="0" applyNumberFormat="1"/>
    <xf numFmtId="9" fontId="0" fillId="0" borderId="0" xfId="2" applyFont="1"/>
    <xf numFmtId="0" fontId="0" fillId="0" borderId="1" xfId="0" applyBorder="1"/>
    <xf numFmtId="9" fontId="0" fillId="0" borderId="0" xfId="0" applyNumberFormat="1"/>
    <xf numFmtId="10" fontId="0" fillId="0" borderId="0" xfId="2" applyNumberFormat="1" applyFont="1"/>
    <xf numFmtId="0" fontId="2" fillId="2" borderId="1" xfId="0" applyFont="1" applyFill="1" applyBorder="1"/>
    <xf numFmtId="10" fontId="2" fillId="2" borderId="1" xfId="2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7" fillId="4" borderId="0" xfId="0" applyFont="1" applyFill="1"/>
    <xf numFmtId="43" fontId="0" fillId="0" borderId="3" xfId="1" applyFont="1" applyFill="1" applyBorder="1"/>
    <xf numFmtId="43" fontId="0" fillId="0" borderId="0" xfId="1" applyFont="1" applyFill="1" applyBorder="1"/>
    <xf numFmtId="43" fontId="0" fillId="0" borderId="4" xfId="1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3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9" fontId="2" fillId="5" borderId="1" xfId="2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</cellXfs>
  <cellStyles count="3">
    <cellStyle name="Millares" xfId="1" builtinId="3"/>
    <cellStyle name="Normal" xfId="0" builtinId="0"/>
    <cellStyle name="Porcentaje" xfId="2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MACRO!$C$6</c:f>
              <c:strCache>
                <c:ptCount val="1"/>
                <c:pt idx="0">
                  <c:v>US$ Millones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809705692882072E-2"/>
                  <c:y val="-5.7681651784497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AA-457E-B4A1-4E78939E319B}"/>
                </c:ext>
              </c:extLst>
            </c:dLbl>
            <c:dLbl>
              <c:idx val="9"/>
              <c:layout>
                <c:manualLayout>
                  <c:x val="-7.6628337078601966E-3"/>
                  <c:y val="-1.3311150411807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AA-457E-B4A1-4E78939E31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MACRO!$B$7:$B$16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MACRO!$C$7:$C$16</c:f>
              <c:numCache>
                <c:formatCode>_-* #,##0_-;\-* #,##0_-;_-* "-"??_-;_-@_-</c:formatCode>
                <c:ptCount val="10"/>
                <c:pt idx="0">
                  <c:v>8864</c:v>
                </c:pt>
                <c:pt idx="1">
                  <c:v>8079</c:v>
                </c:pt>
                <c:pt idx="2">
                  <c:v>6825</c:v>
                </c:pt>
                <c:pt idx="3">
                  <c:v>3335</c:v>
                </c:pt>
                <c:pt idx="4">
                  <c:v>3978</c:v>
                </c:pt>
                <c:pt idx="5">
                  <c:v>4962</c:v>
                </c:pt>
                <c:pt idx="6">
                  <c:v>5908</c:v>
                </c:pt>
                <c:pt idx="7">
                  <c:v>4325</c:v>
                </c:pt>
                <c:pt idx="8">
                  <c:v>5242</c:v>
                </c:pt>
                <c:pt idx="9">
                  <c:v>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A-457E-B4A1-4E78939E3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899871"/>
        <c:axId val="584901119"/>
      </c:lineChart>
      <c:catAx>
        <c:axId val="58489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4901119"/>
        <c:crosses val="autoZero"/>
        <c:auto val="1"/>
        <c:lblAlgn val="ctr"/>
        <c:lblOffset val="100"/>
        <c:noMultiLvlLbl val="0"/>
      </c:catAx>
      <c:valAx>
        <c:axId val="5849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489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Inversión en US$ Millones (2019- Agosto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15 (Presente)'!$D$4</c:f>
              <c:strCache>
                <c:ptCount val="1"/>
                <c:pt idx="0">
                  <c:v>Investment (2019- Oct 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15 (Presente)'!$C$5:$C$19</c:f>
              <c:strCache>
                <c:ptCount val="15"/>
                <c:pt idx="0">
                  <c:v>Moquegua</c:v>
                </c:pt>
                <c:pt idx="1">
                  <c:v>Ica</c:v>
                </c:pt>
                <c:pt idx="2">
                  <c:v>Junin</c:v>
                </c:pt>
                <c:pt idx="3">
                  <c:v>Ancash</c:v>
                </c:pt>
                <c:pt idx="4">
                  <c:v>Cajamarca</c:v>
                </c:pt>
                <c:pt idx="5">
                  <c:v>Arequipa</c:v>
                </c:pt>
                <c:pt idx="6">
                  <c:v>Apurimac</c:v>
                </c:pt>
                <c:pt idx="7">
                  <c:v>Cusco</c:v>
                </c:pt>
                <c:pt idx="8">
                  <c:v>Tacna</c:v>
                </c:pt>
                <c:pt idx="9">
                  <c:v>La Libertad</c:v>
                </c:pt>
                <c:pt idx="10">
                  <c:v>Puno</c:v>
                </c:pt>
                <c:pt idx="11">
                  <c:v>Lima</c:v>
                </c:pt>
                <c:pt idx="12">
                  <c:v>Pasco</c:v>
                </c:pt>
                <c:pt idx="13">
                  <c:v>Ayacucho</c:v>
                </c:pt>
                <c:pt idx="14">
                  <c:v>Huancavelica</c:v>
                </c:pt>
              </c:strCache>
            </c:strRef>
          </c:cat>
          <c:val>
            <c:numRef>
              <c:f>'Top 15 (Presente)'!$D$5:$D$19</c:f>
              <c:numCache>
                <c:formatCode>_(* #,##0.00_);_(* \(#,##0.00\);_(* "-"??_);_(@_)</c:formatCode>
                <c:ptCount val="15"/>
                <c:pt idx="0">
                  <c:v>5378</c:v>
                </c:pt>
                <c:pt idx="1">
                  <c:v>2438</c:v>
                </c:pt>
                <c:pt idx="2">
                  <c:v>1724</c:v>
                </c:pt>
                <c:pt idx="3">
                  <c:v>1655</c:v>
                </c:pt>
                <c:pt idx="4">
                  <c:v>1256</c:v>
                </c:pt>
                <c:pt idx="5">
                  <c:v>1125</c:v>
                </c:pt>
                <c:pt idx="6">
                  <c:v>948</c:v>
                </c:pt>
                <c:pt idx="7">
                  <c:v>934</c:v>
                </c:pt>
                <c:pt idx="8">
                  <c:v>885</c:v>
                </c:pt>
                <c:pt idx="9">
                  <c:v>821</c:v>
                </c:pt>
                <c:pt idx="10">
                  <c:v>702</c:v>
                </c:pt>
                <c:pt idx="11">
                  <c:v>699</c:v>
                </c:pt>
                <c:pt idx="12">
                  <c:v>533</c:v>
                </c:pt>
                <c:pt idx="13">
                  <c:v>374</c:v>
                </c:pt>
                <c:pt idx="14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9-408D-88DE-A84036088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384271"/>
        <c:axId val="369380527"/>
      </c:barChart>
      <c:catAx>
        <c:axId val="3693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9380527"/>
        <c:crosses val="autoZero"/>
        <c:auto val="1"/>
        <c:lblAlgn val="ctr"/>
        <c:lblOffset val="100"/>
        <c:noMultiLvlLbl val="0"/>
      </c:catAx>
      <c:valAx>
        <c:axId val="3693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938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619124</xdr:colOff>
      <xdr:row>4</xdr:row>
      <xdr:rowOff>95250</xdr:rowOff>
    </xdr:from>
    <xdr:to>
      <xdr:col>10</xdr:col>
      <xdr:colOff>257175</xdr:colOff>
      <xdr:row>19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2E9B40-B313-5C94-8547-295C3DEAD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4761</xdr:colOff>
      <xdr:row>2</xdr:row>
      <xdr:rowOff>104775</xdr:rowOff>
    </xdr:from>
    <xdr:to>
      <xdr:col>14</xdr:col>
      <xdr:colOff>695324</xdr:colOff>
      <xdr:row>18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D0ABB4-7E57-4F30-9340-55A92FEEF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3B65E-D717-4B9A-B43F-62A3039C3D1D}" name="Ranking_Minero" displayName="Ranking_Minero" ref="A1:F25" totalsRowShown="0" headerRowDxfId="9" dataDxfId="7" headerRowBorderDxfId="8" tableBorderDxfId="6" dataCellStyle="Millares">
  <autoFilter ref="A1:F25" xr:uid="{4753B65E-D717-4B9A-B43F-62A3039C3D1D}"/>
  <tableColumns count="6">
    <tableColumn id="1" xr3:uid="{97BC29AB-B054-4ABA-BF8C-19B362620410}" name="Ranking" dataDxfId="5"/>
    <tableColumn id="2" xr3:uid="{F050E272-BA17-4644-A28E-38839193F8D7}" name="Region" dataDxfId="4"/>
    <tableColumn id="3" xr3:uid="{D1D0BC0E-1DAE-4E57-808D-F1064514B2D5}" name="2019" dataDxfId="3" dataCellStyle="Millares"/>
    <tableColumn id="4" xr3:uid="{C8349895-C1FB-4628-846C-E867D4BC597F}" name="2020" dataDxfId="2" dataCellStyle="Millares"/>
    <tableColumn id="5" xr3:uid="{3E8BCFF7-BA67-4884-80FC-4AE2C5714302}" name="2021" dataDxfId="1" dataCellStyle="Millares"/>
    <tableColumn id="6" xr3:uid="{A90C5565-0718-44B7-8FEB-F23F7481604B}" name="2022" dataDxfId="0" dataCellStyle="Millar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1328-5574-8749-BBF8-6AEAD69A8C36}">
  <dimension ref="A1:G25"/>
  <sheetViews>
    <sheetView tabSelected="1" zoomScale="140" zoomScaleNormal="140" workbookViewId="0">
      <selection activeCell="I9" sqref="I9"/>
    </sheetView>
  </sheetViews>
  <sheetFormatPr baseColWidth="10" defaultRowHeight="15" x14ac:dyDescent="0.2"/>
  <cols>
    <col min="1" max="1" width="8.83203125" customWidth="1"/>
    <col min="2" max="2" width="11.83203125" bestFit="1" customWidth="1"/>
    <col min="6" max="6" width="10.1640625" bestFit="1" customWidth="1"/>
  </cols>
  <sheetData>
    <row r="1" spans="1:7" x14ac:dyDescent="0.2">
      <c r="A1" s="31" t="s">
        <v>86</v>
      </c>
      <c r="B1" s="32" t="s">
        <v>81</v>
      </c>
      <c r="C1" s="32" t="s">
        <v>87</v>
      </c>
      <c r="D1" s="32" t="s">
        <v>88</v>
      </c>
      <c r="E1" s="32" t="s">
        <v>89</v>
      </c>
      <c r="F1" s="32" t="s">
        <v>90</v>
      </c>
    </row>
    <row r="2" spans="1:7" x14ac:dyDescent="0.2">
      <c r="A2" s="33">
        <v>1</v>
      </c>
      <c r="B2" s="34" t="s">
        <v>3</v>
      </c>
      <c r="C2" s="35">
        <v>1482</v>
      </c>
      <c r="D2" s="35">
        <v>1410</v>
      </c>
      <c r="E2" s="35">
        <v>1428</v>
      </c>
      <c r="F2" s="35">
        <v>1114</v>
      </c>
      <c r="G2" s="17"/>
    </row>
    <row r="3" spans="1:7" x14ac:dyDescent="0.2">
      <c r="A3" s="33">
        <v>2</v>
      </c>
      <c r="B3" s="34" t="s">
        <v>4</v>
      </c>
      <c r="C3" s="35">
        <v>1070</v>
      </c>
      <c r="D3" s="35">
        <v>586</v>
      </c>
      <c r="E3" s="35">
        <v>459</v>
      </c>
      <c r="F3" s="35">
        <v>371</v>
      </c>
      <c r="G3" s="17"/>
    </row>
    <row r="4" spans="1:7" x14ac:dyDescent="0.2">
      <c r="A4" s="33">
        <v>3</v>
      </c>
      <c r="B4" s="34" t="s">
        <v>5</v>
      </c>
      <c r="C4" s="35">
        <v>589</v>
      </c>
      <c r="D4" s="35">
        <v>410</v>
      </c>
      <c r="E4" s="35">
        <v>403</v>
      </c>
      <c r="F4" s="35">
        <v>356</v>
      </c>
      <c r="G4" s="17"/>
    </row>
    <row r="5" spans="1:7" x14ac:dyDescent="0.2">
      <c r="A5" s="33">
        <v>4</v>
      </c>
      <c r="B5" s="34" t="s">
        <v>7</v>
      </c>
      <c r="C5" s="35">
        <v>393</v>
      </c>
      <c r="D5" s="35">
        <v>357</v>
      </c>
      <c r="E5" s="35">
        <v>539</v>
      </c>
      <c r="F5" s="35">
        <v>436</v>
      </c>
      <c r="G5" s="17"/>
    </row>
    <row r="6" spans="1:7" x14ac:dyDescent="0.2">
      <c r="A6" s="33">
        <v>5</v>
      </c>
      <c r="B6" s="34" t="s">
        <v>8</v>
      </c>
      <c r="C6" s="35">
        <v>349</v>
      </c>
      <c r="D6" s="35">
        <v>226</v>
      </c>
      <c r="E6" s="35">
        <v>301</v>
      </c>
      <c r="F6" s="35">
        <v>443</v>
      </c>
      <c r="G6" s="17"/>
    </row>
    <row r="7" spans="1:7" x14ac:dyDescent="0.2">
      <c r="A7" s="33">
        <v>6</v>
      </c>
      <c r="B7" s="34" t="s">
        <v>6</v>
      </c>
      <c r="C7" s="35">
        <v>411</v>
      </c>
      <c r="D7" s="35">
        <v>209</v>
      </c>
      <c r="E7" s="35">
        <v>243</v>
      </c>
      <c r="F7" s="35">
        <v>294</v>
      </c>
      <c r="G7" s="17"/>
    </row>
    <row r="8" spans="1:7" x14ac:dyDescent="0.2">
      <c r="A8" s="33">
        <v>7</v>
      </c>
      <c r="B8" s="34" t="s">
        <v>9</v>
      </c>
      <c r="C8" s="35">
        <v>219</v>
      </c>
      <c r="D8" s="35">
        <v>137</v>
      </c>
      <c r="E8" s="35">
        <v>423</v>
      </c>
      <c r="F8" s="35">
        <v>212</v>
      </c>
      <c r="G8" s="17"/>
    </row>
    <row r="9" spans="1:7" x14ac:dyDescent="0.2">
      <c r="A9" s="33">
        <v>8</v>
      </c>
      <c r="B9" s="34" t="s">
        <v>13</v>
      </c>
      <c r="C9" s="35">
        <v>297</v>
      </c>
      <c r="D9" s="35">
        <v>218</v>
      </c>
      <c r="E9" s="35">
        <v>242</v>
      </c>
      <c r="F9" s="35">
        <v>174</v>
      </c>
      <c r="G9" s="17"/>
    </row>
    <row r="10" spans="1:7" x14ac:dyDescent="0.2">
      <c r="A10" s="33">
        <v>9</v>
      </c>
      <c r="B10" s="34" t="s">
        <v>10</v>
      </c>
      <c r="C10" s="35">
        <v>272</v>
      </c>
      <c r="D10" s="35">
        <v>176</v>
      </c>
      <c r="E10" s="35">
        <v>276</v>
      </c>
      <c r="F10" s="35">
        <v>179</v>
      </c>
      <c r="G10" s="17"/>
    </row>
    <row r="11" spans="1:7" x14ac:dyDescent="0.2">
      <c r="A11" s="33">
        <v>10</v>
      </c>
      <c r="B11" s="34" t="s">
        <v>12</v>
      </c>
      <c r="C11" s="35">
        <v>227</v>
      </c>
      <c r="D11" s="35">
        <v>180</v>
      </c>
      <c r="E11" s="35">
        <v>203</v>
      </c>
      <c r="F11" s="35">
        <v>236</v>
      </c>
      <c r="G11" s="17"/>
    </row>
    <row r="12" spans="1:7" x14ac:dyDescent="0.2">
      <c r="A12" s="33">
        <v>11</v>
      </c>
      <c r="B12" s="34" t="s">
        <v>14</v>
      </c>
      <c r="C12" s="35">
        <v>229</v>
      </c>
      <c r="D12" s="35">
        <v>104</v>
      </c>
      <c r="E12" s="35">
        <v>199</v>
      </c>
      <c r="F12" s="35">
        <v>253</v>
      </c>
      <c r="G12" s="17"/>
    </row>
    <row r="13" spans="1:7" x14ac:dyDescent="0.2">
      <c r="A13" s="33">
        <v>12</v>
      </c>
      <c r="B13" s="34" t="s">
        <v>11</v>
      </c>
      <c r="C13" s="35">
        <v>175</v>
      </c>
      <c r="D13" s="35">
        <v>87</v>
      </c>
      <c r="E13" s="35">
        <v>210</v>
      </c>
      <c r="F13" s="35">
        <v>186</v>
      </c>
      <c r="G13" s="17"/>
    </row>
    <row r="14" spans="1:7" x14ac:dyDescent="0.2">
      <c r="A14" s="33">
        <v>13</v>
      </c>
      <c r="B14" s="34" t="s">
        <v>15</v>
      </c>
      <c r="C14" s="35">
        <v>154</v>
      </c>
      <c r="D14" s="35">
        <v>87</v>
      </c>
      <c r="E14" s="35">
        <v>154</v>
      </c>
      <c r="F14" s="35">
        <v>157</v>
      </c>
      <c r="G14" s="17"/>
    </row>
    <row r="15" spans="1:7" x14ac:dyDescent="0.2">
      <c r="A15" s="33">
        <v>14</v>
      </c>
      <c r="B15" s="34" t="s">
        <v>16</v>
      </c>
      <c r="C15" s="35">
        <v>117</v>
      </c>
      <c r="D15" s="35">
        <v>70</v>
      </c>
      <c r="E15" s="35">
        <v>90</v>
      </c>
      <c r="F15" s="35">
        <v>107</v>
      </c>
      <c r="G15" s="17"/>
    </row>
    <row r="16" spans="1:7" x14ac:dyDescent="0.2">
      <c r="A16" s="33">
        <v>15</v>
      </c>
      <c r="B16" s="34" t="s">
        <v>17</v>
      </c>
      <c r="C16" s="35">
        <v>65</v>
      </c>
      <c r="D16" s="35">
        <v>36</v>
      </c>
      <c r="E16" s="35">
        <v>37</v>
      </c>
      <c r="F16" s="35">
        <v>41</v>
      </c>
      <c r="G16" s="17"/>
    </row>
    <row r="17" spans="1:7" x14ac:dyDescent="0.2">
      <c r="A17" s="33">
        <v>16</v>
      </c>
      <c r="B17" s="34" t="s">
        <v>31</v>
      </c>
      <c r="C17" s="35">
        <v>56</v>
      </c>
      <c r="D17" s="35">
        <v>16</v>
      </c>
      <c r="E17" s="35">
        <v>9</v>
      </c>
      <c r="F17" s="35">
        <v>33</v>
      </c>
      <c r="G17" s="17"/>
    </row>
    <row r="18" spans="1:7" x14ac:dyDescent="0.2">
      <c r="A18" s="33">
        <v>17</v>
      </c>
      <c r="B18" s="34" t="s">
        <v>18</v>
      </c>
      <c r="C18" s="35">
        <v>25</v>
      </c>
      <c r="D18" s="35">
        <v>14</v>
      </c>
      <c r="E18" s="35">
        <v>20</v>
      </c>
      <c r="F18" s="35">
        <v>17</v>
      </c>
      <c r="G18" s="17"/>
    </row>
    <row r="19" spans="1:7" x14ac:dyDescent="0.2">
      <c r="A19" s="33">
        <v>18</v>
      </c>
      <c r="B19" s="34" t="s">
        <v>19</v>
      </c>
      <c r="C19" s="35">
        <v>21</v>
      </c>
      <c r="D19" s="35">
        <v>6</v>
      </c>
      <c r="E19" s="35">
        <v>0</v>
      </c>
      <c r="F19" s="35">
        <v>0</v>
      </c>
      <c r="G19" s="17"/>
    </row>
    <row r="20" spans="1:7" x14ac:dyDescent="0.2">
      <c r="A20" s="33">
        <v>19</v>
      </c>
      <c r="B20" s="34" t="s">
        <v>20</v>
      </c>
      <c r="C20" s="35">
        <v>7</v>
      </c>
      <c r="D20" s="35">
        <v>2</v>
      </c>
      <c r="E20" s="35">
        <v>0</v>
      </c>
      <c r="F20" s="35">
        <v>4</v>
      </c>
      <c r="G20" s="17"/>
    </row>
    <row r="21" spans="1:7" x14ac:dyDescent="0.2">
      <c r="A21" s="33">
        <v>20</v>
      </c>
      <c r="B21" s="34" t="s">
        <v>21</v>
      </c>
      <c r="C21" s="35">
        <v>1</v>
      </c>
      <c r="D21" s="35">
        <v>0</v>
      </c>
      <c r="E21" s="35">
        <v>0</v>
      </c>
      <c r="F21" s="35"/>
      <c r="G21" s="17"/>
    </row>
    <row r="22" spans="1:7" x14ac:dyDescent="0.2">
      <c r="A22" s="33">
        <v>21</v>
      </c>
      <c r="B22" s="34" t="s">
        <v>23</v>
      </c>
      <c r="C22" s="36">
        <v>0</v>
      </c>
      <c r="D22" s="36">
        <v>0</v>
      </c>
      <c r="E22" s="36">
        <v>0</v>
      </c>
      <c r="F22" s="36">
        <v>0</v>
      </c>
      <c r="G22" s="17"/>
    </row>
    <row r="23" spans="1:7" x14ac:dyDescent="0.2">
      <c r="A23" s="33">
        <v>22</v>
      </c>
      <c r="B23" s="34" t="s">
        <v>22</v>
      </c>
      <c r="C23" s="35">
        <v>0</v>
      </c>
      <c r="D23" s="35">
        <v>0</v>
      </c>
      <c r="E23" s="35">
        <v>0</v>
      </c>
      <c r="F23" s="35">
        <v>0</v>
      </c>
      <c r="G23" s="17"/>
    </row>
    <row r="24" spans="1:7" x14ac:dyDescent="0.2">
      <c r="A24" s="33">
        <v>23</v>
      </c>
      <c r="B24" s="34" t="s">
        <v>24</v>
      </c>
      <c r="C24" s="35">
        <v>0</v>
      </c>
      <c r="D24" s="35">
        <v>0</v>
      </c>
      <c r="E24" s="35">
        <v>0</v>
      </c>
      <c r="F24" s="35">
        <v>0</v>
      </c>
      <c r="G24" s="17"/>
    </row>
    <row r="25" spans="1:7" x14ac:dyDescent="0.2">
      <c r="A25" s="37">
        <v>24</v>
      </c>
      <c r="B25" s="38" t="s">
        <v>25</v>
      </c>
      <c r="C25" s="39">
        <v>0</v>
      </c>
      <c r="D25" s="39">
        <v>0</v>
      </c>
      <c r="E25" s="39">
        <v>0</v>
      </c>
      <c r="F25" s="39">
        <v>0</v>
      </c>
      <c r="G25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3E68-FB92-CF4A-BD92-3240BC6AC599}">
  <dimension ref="A3:Y10"/>
  <sheetViews>
    <sheetView workbookViewId="0">
      <selection activeCell="K10" sqref="K10"/>
    </sheetView>
  </sheetViews>
  <sheetFormatPr baseColWidth="10" defaultRowHeight="15" x14ac:dyDescent="0.2"/>
  <sheetData>
    <row r="3" spans="1:25" x14ac:dyDescent="0.2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</row>
    <row r="4" spans="1:25" x14ac:dyDescent="0.2">
      <c r="A4" t="s">
        <v>84</v>
      </c>
      <c r="B4" s="2" t="s">
        <v>3</v>
      </c>
      <c r="C4" s="2" t="s">
        <v>4</v>
      </c>
      <c r="D4" s="2" t="s">
        <v>5</v>
      </c>
      <c r="E4" s="2" t="s">
        <v>7</v>
      </c>
      <c r="F4" s="2" t="s">
        <v>8</v>
      </c>
      <c r="G4" s="2" t="s">
        <v>6</v>
      </c>
      <c r="H4" s="2" t="s">
        <v>13</v>
      </c>
      <c r="I4" s="2" t="s">
        <v>9</v>
      </c>
      <c r="J4" s="2" t="s">
        <v>10</v>
      </c>
      <c r="K4" s="2" t="s">
        <v>12</v>
      </c>
      <c r="L4" s="2" t="s">
        <v>11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31</v>
      </c>
      <c r="R4" s="15" t="s">
        <v>18</v>
      </c>
      <c r="S4" s="2" t="s">
        <v>19</v>
      </c>
      <c r="T4" s="2" t="s">
        <v>20</v>
      </c>
      <c r="U4" s="2" t="s">
        <v>21</v>
      </c>
      <c r="V4" s="2" t="s">
        <v>23</v>
      </c>
      <c r="W4" s="2" t="s">
        <v>22</v>
      </c>
      <c r="X4" s="2" t="s">
        <v>24</v>
      </c>
      <c r="Y4" s="2" t="s">
        <v>25</v>
      </c>
    </row>
    <row r="5" spans="1:25" x14ac:dyDescent="0.2">
      <c r="A5">
        <v>2019</v>
      </c>
      <c r="B5" s="15">
        <v>1482</v>
      </c>
      <c r="C5" s="15">
        <v>1070</v>
      </c>
      <c r="D5" s="15">
        <v>589</v>
      </c>
      <c r="E5" s="4">
        <v>393</v>
      </c>
      <c r="F5" s="4">
        <v>349</v>
      </c>
      <c r="G5" s="4">
        <v>411</v>
      </c>
      <c r="H5" s="4">
        <v>219</v>
      </c>
      <c r="I5" s="4">
        <v>297</v>
      </c>
      <c r="J5" s="4">
        <v>272</v>
      </c>
      <c r="K5" s="4">
        <v>227</v>
      </c>
      <c r="L5" s="4">
        <v>229</v>
      </c>
      <c r="M5" s="4">
        <v>175</v>
      </c>
      <c r="N5" s="4">
        <v>154</v>
      </c>
      <c r="O5" s="4">
        <v>117</v>
      </c>
      <c r="P5" s="4">
        <v>65</v>
      </c>
      <c r="Q5" s="15">
        <v>56</v>
      </c>
      <c r="R5" s="15">
        <v>25</v>
      </c>
      <c r="S5" s="15">
        <v>21</v>
      </c>
      <c r="T5" s="15">
        <v>7</v>
      </c>
      <c r="U5" s="28">
        <v>1</v>
      </c>
      <c r="V5" s="28">
        <v>0</v>
      </c>
      <c r="W5" s="28">
        <v>0</v>
      </c>
      <c r="X5" s="28">
        <v>0</v>
      </c>
      <c r="Y5" s="28">
        <v>0</v>
      </c>
    </row>
    <row r="6" spans="1:25" x14ac:dyDescent="0.2">
      <c r="A6">
        <v>2020</v>
      </c>
      <c r="B6" s="15">
        <v>1410</v>
      </c>
      <c r="C6" s="15">
        <v>586</v>
      </c>
      <c r="D6" s="15">
        <v>410</v>
      </c>
      <c r="E6" s="4">
        <v>357</v>
      </c>
      <c r="F6" s="4">
        <v>226</v>
      </c>
      <c r="G6" s="4">
        <v>209</v>
      </c>
      <c r="H6" s="4">
        <v>137</v>
      </c>
      <c r="I6" s="4">
        <v>218</v>
      </c>
      <c r="J6" s="4">
        <v>176</v>
      </c>
      <c r="K6" s="4">
        <v>180</v>
      </c>
      <c r="L6" s="4">
        <v>104</v>
      </c>
      <c r="M6" s="4">
        <v>87</v>
      </c>
      <c r="N6" s="4">
        <v>87</v>
      </c>
      <c r="O6" s="4">
        <v>70</v>
      </c>
      <c r="P6" s="4">
        <v>36</v>
      </c>
      <c r="Q6" s="15">
        <v>16</v>
      </c>
      <c r="R6" s="15">
        <v>14</v>
      </c>
      <c r="S6" s="15">
        <v>6</v>
      </c>
      <c r="T6" s="15">
        <v>2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</row>
    <row r="7" spans="1:25" x14ac:dyDescent="0.2">
      <c r="A7">
        <v>2021</v>
      </c>
      <c r="B7" s="15">
        <v>1428</v>
      </c>
      <c r="C7" s="15">
        <v>459</v>
      </c>
      <c r="D7" s="15">
        <v>403</v>
      </c>
      <c r="E7" s="4">
        <v>539</v>
      </c>
      <c r="F7" s="4">
        <v>301</v>
      </c>
      <c r="G7" s="4">
        <v>243</v>
      </c>
      <c r="H7" s="4">
        <v>423</v>
      </c>
      <c r="I7" s="4">
        <v>242</v>
      </c>
      <c r="J7" s="4">
        <v>276</v>
      </c>
      <c r="K7" s="4">
        <v>203</v>
      </c>
      <c r="L7" s="4">
        <v>199</v>
      </c>
      <c r="M7" s="4">
        <v>210</v>
      </c>
      <c r="N7" s="4">
        <v>154</v>
      </c>
      <c r="O7" s="4">
        <v>90</v>
      </c>
      <c r="P7" s="4">
        <v>37</v>
      </c>
      <c r="Q7" s="15">
        <v>9</v>
      </c>
      <c r="R7" s="15">
        <v>20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</row>
    <row r="8" spans="1:25" x14ac:dyDescent="0.2">
      <c r="A8">
        <v>2022</v>
      </c>
      <c r="B8" s="15">
        <v>891</v>
      </c>
      <c r="C8" s="15">
        <v>251</v>
      </c>
      <c r="D8" s="15">
        <v>243</v>
      </c>
      <c r="E8" s="4">
        <v>287</v>
      </c>
      <c r="F8" s="4">
        <v>286</v>
      </c>
      <c r="G8" s="4">
        <v>191</v>
      </c>
      <c r="H8" s="4">
        <v>114</v>
      </c>
      <c r="I8" s="4">
        <v>131</v>
      </c>
      <c r="J8" s="4">
        <v>129</v>
      </c>
      <c r="K8" s="4">
        <v>167</v>
      </c>
      <c r="L8" s="4">
        <v>133</v>
      </c>
      <c r="M8" s="4">
        <v>182</v>
      </c>
      <c r="N8" s="4">
        <v>103</v>
      </c>
      <c r="O8" s="4">
        <v>77</v>
      </c>
      <c r="P8" s="4">
        <v>26</v>
      </c>
      <c r="Q8" s="15">
        <v>20</v>
      </c>
      <c r="R8" s="15">
        <v>11</v>
      </c>
      <c r="S8" s="15">
        <v>0</v>
      </c>
      <c r="T8" s="15">
        <v>3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</row>
    <row r="10" spans="1:25" x14ac:dyDescent="0.2">
      <c r="B10" s="17" t="s">
        <v>85</v>
      </c>
      <c r="C10" s="17" t="s">
        <v>85</v>
      </c>
      <c r="D10" s="17" t="s">
        <v>85</v>
      </c>
      <c r="E10" s="17" t="s">
        <v>85</v>
      </c>
      <c r="F10" s="17" t="s">
        <v>85</v>
      </c>
      <c r="G10" s="17" t="s">
        <v>85</v>
      </c>
      <c r="H10" s="17" t="s">
        <v>85</v>
      </c>
      <c r="I10" s="17" t="s">
        <v>85</v>
      </c>
      <c r="J10" s="17" t="s">
        <v>85</v>
      </c>
      <c r="K10" s="17" t="s">
        <v>85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EB92-BEF1-4169-A9E9-5563A68BDBE0}">
  <dimension ref="B2:AB44"/>
  <sheetViews>
    <sheetView showGridLines="0" topLeftCell="F1" zoomScale="110" zoomScaleNormal="110" workbookViewId="0">
      <selection activeCell="P3" sqref="P3:Q22"/>
    </sheetView>
  </sheetViews>
  <sheetFormatPr baseColWidth="10" defaultRowHeight="15" x14ac:dyDescent="0.2"/>
  <cols>
    <col min="3" max="3" width="13.6640625" bestFit="1" customWidth="1"/>
    <col min="4" max="4" width="24" bestFit="1" customWidth="1"/>
    <col min="8" max="8" width="21.5" bestFit="1" customWidth="1"/>
    <col min="9" max="9" width="17.6640625" bestFit="1" customWidth="1"/>
    <col min="12" max="12" width="11.1640625" bestFit="1" customWidth="1"/>
    <col min="13" max="13" width="11.1640625" customWidth="1"/>
    <col min="14" max="14" width="21" customWidth="1"/>
    <col min="16" max="16" width="11.83203125" bestFit="1" customWidth="1"/>
  </cols>
  <sheetData>
    <row r="2" spans="2:17" x14ac:dyDescent="0.2">
      <c r="B2" s="11" t="s">
        <v>57</v>
      </c>
      <c r="C2" s="11" t="s">
        <v>26</v>
      </c>
      <c r="D2" s="11">
        <v>2019</v>
      </c>
      <c r="E2" s="11">
        <v>2020</v>
      </c>
      <c r="F2" s="11">
        <v>2021</v>
      </c>
      <c r="G2" s="11">
        <v>2022</v>
      </c>
      <c r="I2" s="11" t="s">
        <v>81</v>
      </c>
      <c r="J2" s="11">
        <v>2019</v>
      </c>
      <c r="K2" s="11">
        <v>2020</v>
      </c>
      <c r="L2" s="11">
        <v>2021</v>
      </c>
      <c r="M2" s="11">
        <v>2022</v>
      </c>
      <c r="N2" s="11" t="s">
        <v>97</v>
      </c>
    </row>
    <row r="3" spans="2:17" x14ac:dyDescent="0.2">
      <c r="B3" s="2" t="s">
        <v>56</v>
      </c>
      <c r="C3" s="2" t="s">
        <v>3</v>
      </c>
      <c r="D3" s="15">
        <v>1482</v>
      </c>
      <c r="E3" s="15">
        <v>1410</v>
      </c>
      <c r="F3" s="15">
        <v>1428</v>
      </c>
      <c r="G3" s="15">
        <v>891</v>
      </c>
      <c r="I3" s="19" t="s">
        <v>3</v>
      </c>
      <c r="J3" s="15">
        <v>1482</v>
      </c>
      <c r="K3" s="15">
        <v>1410</v>
      </c>
      <c r="L3" s="15">
        <v>1428</v>
      </c>
      <c r="M3" s="15">
        <v>1114</v>
      </c>
      <c r="N3" s="15">
        <f>SUM(J3:M3)</f>
        <v>5434</v>
      </c>
      <c r="O3" s="17"/>
      <c r="P3" s="2" t="s">
        <v>3</v>
      </c>
      <c r="Q3" s="16">
        <v>5434</v>
      </c>
    </row>
    <row r="4" spans="2:17" x14ac:dyDescent="0.2">
      <c r="B4" s="2" t="s">
        <v>58</v>
      </c>
      <c r="C4" s="2" t="s">
        <v>4</v>
      </c>
      <c r="D4" s="15">
        <v>1070</v>
      </c>
      <c r="E4" s="15">
        <v>586</v>
      </c>
      <c r="F4" s="15">
        <v>459</v>
      </c>
      <c r="G4" s="15">
        <v>251</v>
      </c>
      <c r="I4" s="19" t="s">
        <v>4</v>
      </c>
      <c r="J4" s="15">
        <v>1070</v>
      </c>
      <c r="K4" s="15">
        <v>586</v>
      </c>
      <c r="L4" s="15">
        <v>459</v>
      </c>
      <c r="M4" s="15">
        <v>371</v>
      </c>
      <c r="N4" s="15">
        <f t="shared" ref="N4:N26" si="0">SUM(J4:M4)</f>
        <v>2486</v>
      </c>
      <c r="P4" s="2" t="s">
        <v>4</v>
      </c>
      <c r="Q4" s="16">
        <v>2486</v>
      </c>
    </row>
    <row r="5" spans="2:17" x14ac:dyDescent="0.2">
      <c r="B5" s="2" t="s">
        <v>59</v>
      </c>
      <c r="C5" s="2" t="s">
        <v>5</v>
      </c>
      <c r="D5" s="15">
        <v>589</v>
      </c>
      <c r="E5" s="15">
        <v>410</v>
      </c>
      <c r="F5" s="15">
        <v>403</v>
      </c>
      <c r="G5" s="15">
        <v>243</v>
      </c>
      <c r="I5" s="19" t="s">
        <v>5</v>
      </c>
      <c r="J5" s="15">
        <v>589</v>
      </c>
      <c r="K5" s="15">
        <v>410</v>
      </c>
      <c r="L5" s="15">
        <v>403</v>
      </c>
      <c r="M5" s="15">
        <v>356</v>
      </c>
      <c r="N5" s="15">
        <f t="shared" si="0"/>
        <v>1758</v>
      </c>
      <c r="P5" s="2" t="s">
        <v>5</v>
      </c>
      <c r="Q5" s="16">
        <v>1758</v>
      </c>
    </row>
    <row r="6" spans="2:17" x14ac:dyDescent="0.2">
      <c r="B6" s="2" t="s">
        <v>60</v>
      </c>
      <c r="C6" s="2" t="s">
        <v>6</v>
      </c>
      <c r="D6" s="4">
        <v>411</v>
      </c>
      <c r="E6" s="4">
        <v>209</v>
      </c>
      <c r="F6" s="4">
        <v>243</v>
      </c>
      <c r="G6" s="4">
        <v>191</v>
      </c>
      <c r="I6" s="19" t="s">
        <v>7</v>
      </c>
      <c r="J6" s="4">
        <v>393</v>
      </c>
      <c r="K6" s="4">
        <v>357</v>
      </c>
      <c r="L6" s="4">
        <v>539</v>
      </c>
      <c r="M6" s="4">
        <v>436</v>
      </c>
      <c r="N6" s="15">
        <f t="shared" si="0"/>
        <v>1725</v>
      </c>
      <c r="P6" s="2" t="s">
        <v>7</v>
      </c>
      <c r="Q6" s="16">
        <v>1725</v>
      </c>
    </row>
    <row r="7" spans="2:17" x14ac:dyDescent="0.2">
      <c r="B7" s="2" t="s">
        <v>61</v>
      </c>
      <c r="C7" s="2" t="s">
        <v>7</v>
      </c>
      <c r="D7" s="4">
        <v>393</v>
      </c>
      <c r="E7" s="4">
        <v>357</v>
      </c>
      <c r="F7" s="4">
        <v>539</v>
      </c>
      <c r="G7" s="4">
        <v>287</v>
      </c>
      <c r="I7" s="19" t="s">
        <v>8</v>
      </c>
      <c r="J7" s="4">
        <v>349</v>
      </c>
      <c r="K7" s="4">
        <v>226</v>
      </c>
      <c r="L7" s="4">
        <v>301</v>
      </c>
      <c r="M7" s="4">
        <v>443</v>
      </c>
      <c r="N7" s="15">
        <f t="shared" si="0"/>
        <v>1319</v>
      </c>
      <c r="P7" s="2" t="s">
        <v>8</v>
      </c>
      <c r="Q7" s="16">
        <v>1319</v>
      </c>
    </row>
    <row r="8" spans="2:17" x14ac:dyDescent="0.2">
      <c r="B8" s="2" t="s">
        <v>62</v>
      </c>
      <c r="C8" s="2" t="s">
        <v>8</v>
      </c>
      <c r="D8" s="4">
        <v>349</v>
      </c>
      <c r="E8" s="4">
        <v>226</v>
      </c>
      <c r="F8" s="4">
        <v>301</v>
      </c>
      <c r="G8" s="4">
        <v>286</v>
      </c>
      <c r="I8" s="19" t="s">
        <v>6</v>
      </c>
      <c r="J8" s="4">
        <v>411</v>
      </c>
      <c r="K8" s="4">
        <v>209</v>
      </c>
      <c r="L8" s="4">
        <v>243</v>
      </c>
      <c r="M8" s="4">
        <v>294</v>
      </c>
      <c r="N8" s="15">
        <f t="shared" si="0"/>
        <v>1157</v>
      </c>
      <c r="P8" s="2" t="s">
        <v>6</v>
      </c>
      <c r="Q8" s="16">
        <v>1157</v>
      </c>
    </row>
    <row r="9" spans="2:17" x14ac:dyDescent="0.2">
      <c r="B9" s="2" t="s">
        <v>63</v>
      </c>
      <c r="C9" s="2" t="s">
        <v>9</v>
      </c>
      <c r="D9" s="4">
        <v>297</v>
      </c>
      <c r="E9" s="4">
        <v>218</v>
      </c>
      <c r="F9" s="4">
        <v>242</v>
      </c>
      <c r="G9" s="4">
        <v>131</v>
      </c>
      <c r="I9" s="19" t="s">
        <v>13</v>
      </c>
      <c r="J9" s="4">
        <v>219</v>
      </c>
      <c r="K9" s="4">
        <v>137</v>
      </c>
      <c r="L9" s="4">
        <v>423</v>
      </c>
      <c r="M9" s="4">
        <v>174</v>
      </c>
      <c r="N9" s="15">
        <f t="shared" si="0"/>
        <v>953</v>
      </c>
      <c r="P9" s="2" t="s">
        <v>13</v>
      </c>
      <c r="Q9" s="16">
        <v>953</v>
      </c>
    </row>
    <row r="10" spans="2:17" x14ac:dyDescent="0.2">
      <c r="B10" s="2" t="s">
        <v>64</v>
      </c>
      <c r="C10" s="2" t="s">
        <v>10</v>
      </c>
      <c r="D10" s="4">
        <v>272</v>
      </c>
      <c r="E10" s="4">
        <v>176</v>
      </c>
      <c r="F10" s="4">
        <v>276</v>
      </c>
      <c r="G10" s="4">
        <v>129</v>
      </c>
      <c r="I10" s="19" t="s">
        <v>9</v>
      </c>
      <c r="J10" s="4">
        <v>297</v>
      </c>
      <c r="K10" s="4">
        <v>218</v>
      </c>
      <c r="L10" s="4">
        <v>242</v>
      </c>
      <c r="M10" s="4">
        <v>212</v>
      </c>
      <c r="N10" s="15">
        <f t="shared" si="0"/>
        <v>969</v>
      </c>
      <c r="P10" s="2" t="s">
        <v>9</v>
      </c>
      <c r="Q10" s="16">
        <v>969</v>
      </c>
    </row>
    <row r="11" spans="2:17" x14ac:dyDescent="0.2">
      <c r="B11" s="2" t="s">
        <v>65</v>
      </c>
      <c r="C11" s="2" t="s">
        <v>11</v>
      </c>
      <c r="D11" s="4">
        <v>229</v>
      </c>
      <c r="E11" s="4">
        <v>104</v>
      </c>
      <c r="F11" s="4">
        <v>199</v>
      </c>
      <c r="G11" s="4">
        <v>133</v>
      </c>
      <c r="I11" s="19" t="s">
        <v>10</v>
      </c>
      <c r="J11" s="4">
        <v>272</v>
      </c>
      <c r="K11" s="4">
        <v>176</v>
      </c>
      <c r="L11" s="4">
        <v>276</v>
      </c>
      <c r="M11" s="4">
        <v>179</v>
      </c>
      <c r="N11" s="15">
        <f t="shared" si="0"/>
        <v>903</v>
      </c>
      <c r="P11" s="2" t="s">
        <v>10</v>
      </c>
      <c r="Q11" s="16">
        <v>903</v>
      </c>
    </row>
    <row r="12" spans="2:17" x14ac:dyDescent="0.2">
      <c r="B12" s="2" t="s">
        <v>66</v>
      </c>
      <c r="C12" s="2" t="s">
        <v>12</v>
      </c>
      <c r="D12" s="4">
        <v>227</v>
      </c>
      <c r="E12" s="4">
        <v>180</v>
      </c>
      <c r="F12" s="4">
        <v>203</v>
      </c>
      <c r="G12" s="4">
        <v>167</v>
      </c>
      <c r="I12" s="19" t="s">
        <v>12</v>
      </c>
      <c r="J12" s="4">
        <v>227</v>
      </c>
      <c r="K12" s="4">
        <v>180</v>
      </c>
      <c r="L12" s="4">
        <v>203</v>
      </c>
      <c r="M12" s="4">
        <v>236</v>
      </c>
      <c r="N12" s="15">
        <f t="shared" si="0"/>
        <v>846</v>
      </c>
      <c r="P12" s="2" t="s">
        <v>12</v>
      </c>
      <c r="Q12" s="16">
        <v>846</v>
      </c>
    </row>
    <row r="13" spans="2:17" x14ac:dyDescent="0.2">
      <c r="B13" s="2" t="s">
        <v>67</v>
      </c>
      <c r="C13" s="2" t="s">
        <v>13</v>
      </c>
      <c r="D13" s="4">
        <v>219</v>
      </c>
      <c r="E13" s="4">
        <v>137</v>
      </c>
      <c r="F13" s="4">
        <v>423</v>
      </c>
      <c r="G13" s="4">
        <v>114</v>
      </c>
      <c r="I13" s="19" t="s">
        <v>11</v>
      </c>
      <c r="J13" s="4">
        <v>229</v>
      </c>
      <c r="K13" s="4">
        <v>104</v>
      </c>
      <c r="L13" s="4">
        <v>199</v>
      </c>
      <c r="M13" s="4">
        <v>186</v>
      </c>
      <c r="N13" s="15">
        <f t="shared" si="0"/>
        <v>718</v>
      </c>
      <c r="P13" s="2" t="s">
        <v>11</v>
      </c>
      <c r="Q13" s="16">
        <v>718</v>
      </c>
    </row>
    <row r="14" spans="2:17" x14ac:dyDescent="0.2">
      <c r="B14" s="2" t="s">
        <v>68</v>
      </c>
      <c r="C14" s="2" t="s">
        <v>14</v>
      </c>
      <c r="D14" s="4">
        <v>175</v>
      </c>
      <c r="E14" s="4">
        <v>87</v>
      </c>
      <c r="F14" s="4">
        <v>210</v>
      </c>
      <c r="G14" s="4">
        <v>182</v>
      </c>
      <c r="I14" s="19" t="s">
        <v>14</v>
      </c>
      <c r="J14" s="4">
        <v>175</v>
      </c>
      <c r="K14" s="4">
        <v>87</v>
      </c>
      <c r="L14" s="4">
        <v>210</v>
      </c>
      <c r="M14" s="4">
        <v>253</v>
      </c>
      <c r="N14" s="15">
        <f t="shared" si="0"/>
        <v>725</v>
      </c>
      <c r="P14" s="2" t="s">
        <v>14</v>
      </c>
      <c r="Q14" s="16">
        <v>725</v>
      </c>
    </row>
    <row r="15" spans="2:17" x14ac:dyDescent="0.2">
      <c r="B15" s="2" t="s">
        <v>69</v>
      </c>
      <c r="C15" s="2" t="s">
        <v>15</v>
      </c>
      <c r="D15" s="4">
        <v>154</v>
      </c>
      <c r="E15" s="4">
        <v>87</v>
      </c>
      <c r="F15" s="4">
        <v>154</v>
      </c>
      <c r="G15" s="4">
        <v>103</v>
      </c>
      <c r="I15" s="19" t="s">
        <v>15</v>
      </c>
      <c r="J15" s="4">
        <v>154</v>
      </c>
      <c r="K15" s="4">
        <v>87</v>
      </c>
      <c r="L15" s="4">
        <v>154</v>
      </c>
      <c r="M15" s="4">
        <v>157</v>
      </c>
      <c r="N15" s="15">
        <f t="shared" si="0"/>
        <v>552</v>
      </c>
      <c r="P15" s="2" t="s">
        <v>15</v>
      </c>
      <c r="Q15" s="16">
        <v>552</v>
      </c>
    </row>
    <row r="16" spans="2:17" x14ac:dyDescent="0.2">
      <c r="B16" s="2" t="s">
        <v>70</v>
      </c>
      <c r="C16" s="2" t="s">
        <v>16</v>
      </c>
      <c r="D16" s="4">
        <v>117</v>
      </c>
      <c r="E16" s="4">
        <v>70</v>
      </c>
      <c r="F16" s="4">
        <v>90</v>
      </c>
      <c r="G16" s="4">
        <v>77</v>
      </c>
      <c r="I16" s="19" t="s">
        <v>16</v>
      </c>
      <c r="J16" s="4">
        <v>117</v>
      </c>
      <c r="K16" s="4">
        <v>70</v>
      </c>
      <c r="L16" s="4">
        <v>90</v>
      </c>
      <c r="M16" s="4">
        <v>107</v>
      </c>
      <c r="N16" s="15">
        <f t="shared" si="0"/>
        <v>384</v>
      </c>
      <c r="P16" s="2" t="s">
        <v>16</v>
      </c>
      <c r="Q16" s="16">
        <v>384</v>
      </c>
    </row>
    <row r="17" spans="2:17" x14ac:dyDescent="0.2">
      <c r="B17" s="2" t="s">
        <v>71</v>
      </c>
      <c r="C17" s="2" t="s">
        <v>17</v>
      </c>
      <c r="D17" s="4">
        <v>65</v>
      </c>
      <c r="E17" s="4">
        <v>36</v>
      </c>
      <c r="F17" s="4">
        <v>37</v>
      </c>
      <c r="G17" s="4">
        <v>26</v>
      </c>
      <c r="I17" s="19" t="s">
        <v>17</v>
      </c>
      <c r="J17" s="4">
        <v>65</v>
      </c>
      <c r="K17" s="4">
        <v>36</v>
      </c>
      <c r="L17" s="4">
        <v>37</v>
      </c>
      <c r="M17" s="4">
        <v>41</v>
      </c>
      <c r="N17" s="15">
        <f t="shared" si="0"/>
        <v>179</v>
      </c>
      <c r="P17" s="2" t="s">
        <v>17</v>
      </c>
      <c r="Q17" s="16">
        <v>179</v>
      </c>
    </row>
    <row r="18" spans="2:17" x14ac:dyDescent="0.2">
      <c r="B18" s="2" t="s">
        <v>72</v>
      </c>
      <c r="C18" s="2" t="s">
        <v>31</v>
      </c>
      <c r="D18" s="15">
        <v>56</v>
      </c>
      <c r="E18" s="15">
        <v>16</v>
      </c>
      <c r="F18" s="15">
        <v>9</v>
      </c>
      <c r="G18" s="15">
        <v>20</v>
      </c>
      <c r="I18" s="19" t="s">
        <v>31</v>
      </c>
      <c r="J18" s="15">
        <v>56</v>
      </c>
      <c r="K18" s="15">
        <v>16</v>
      </c>
      <c r="L18" s="15">
        <v>9</v>
      </c>
      <c r="M18" s="15">
        <v>33</v>
      </c>
      <c r="N18" s="15">
        <f t="shared" si="0"/>
        <v>114</v>
      </c>
      <c r="P18" s="2" t="s">
        <v>31</v>
      </c>
      <c r="Q18" s="16">
        <v>114</v>
      </c>
    </row>
    <row r="19" spans="2:17" x14ac:dyDescent="0.2">
      <c r="B19" s="2" t="s">
        <v>73</v>
      </c>
      <c r="C19" s="13" t="s">
        <v>18</v>
      </c>
      <c r="D19" s="15">
        <v>25</v>
      </c>
      <c r="E19" s="15">
        <v>14</v>
      </c>
      <c r="F19" s="15">
        <v>20</v>
      </c>
      <c r="G19" s="15">
        <v>11</v>
      </c>
      <c r="I19" s="19" t="s">
        <v>18</v>
      </c>
      <c r="J19" s="15">
        <v>25</v>
      </c>
      <c r="K19" s="15">
        <v>14</v>
      </c>
      <c r="L19" s="15">
        <v>20</v>
      </c>
      <c r="M19" s="15">
        <v>17</v>
      </c>
      <c r="N19" s="15">
        <f t="shared" si="0"/>
        <v>76</v>
      </c>
      <c r="P19" s="13" t="s">
        <v>18</v>
      </c>
      <c r="Q19" s="16">
        <v>76</v>
      </c>
    </row>
    <row r="20" spans="2:17" x14ac:dyDescent="0.2">
      <c r="B20" s="2" t="s">
        <v>74</v>
      </c>
      <c r="C20" s="2" t="s">
        <v>19</v>
      </c>
      <c r="D20" s="15">
        <v>21</v>
      </c>
      <c r="E20" s="15">
        <v>6</v>
      </c>
      <c r="F20" s="15">
        <v>0</v>
      </c>
      <c r="G20" s="15">
        <v>0</v>
      </c>
      <c r="I20" s="2" t="s">
        <v>19</v>
      </c>
      <c r="J20" s="15">
        <v>21</v>
      </c>
      <c r="K20" s="15">
        <v>6</v>
      </c>
      <c r="L20" s="15">
        <v>0</v>
      </c>
      <c r="M20" s="15">
        <v>0</v>
      </c>
      <c r="N20" s="15">
        <f t="shared" si="0"/>
        <v>27</v>
      </c>
      <c r="P20" s="2" t="s">
        <v>19</v>
      </c>
      <c r="Q20" s="16">
        <v>27</v>
      </c>
    </row>
    <row r="21" spans="2:17" x14ac:dyDescent="0.2">
      <c r="B21" s="2" t="s">
        <v>75</v>
      </c>
      <c r="C21" s="2" t="s">
        <v>20</v>
      </c>
      <c r="D21" s="15">
        <v>7</v>
      </c>
      <c r="E21" s="15">
        <v>2</v>
      </c>
      <c r="F21" s="15">
        <v>0</v>
      </c>
      <c r="G21" s="15">
        <v>3</v>
      </c>
      <c r="I21" s="2" t="s">
        <v>20</v>
      </c>
      <c r="J21" s="15">
        <v>7</v>
      </c>
      <c r="K21" s="15">
        <v>2</v>
      </c>
      <c r="L21" s="15">
        <v>0</v>
      </c>
      <c r="M21" s="15">
        <v>4</v>
      </c>
      <c r="N21" s="15">
        <f t="shared" si="0"/>
        <v>13</v>
      </c>
      <c r="P21" s="2" t="s">
        <v>20</v>
      </c>
      <c r="Q21" s="16">
        <v>13</v>
      </c>
    </row>
    <row r="22" spans="2:17" x14ac:dyDescent="0.2">
      <c r="B22" s="2" t="s">
        <v>76</v>
      </c>
      <c r="C22" s="2" t="s">
        <v>21</v>
      </c>
      <c r="D22" s="15">
        <v>1</v>
      </c>
      <c r="E22" s="15">
        <v>0</v>
      </c>
      <c r="F22" s="15">
        <v>0</v>
      </c>
      <c r="G22" s="15">
        <v>0</v>
      </c>
      <c r="I22" s="2" t="s">
        <v>21</v>
      </c>
      <c r="J22" s="15">
        <v>1</v>
      </c>
      <c r="K22" s="15">
        <v>0</v>
      </c>
      <c r="L22" s="15">
        <v>0</v>
      </c>
      <c r="M22" s="15">
        <v>0</v>
      </c>
      <c r="N22" s="15">
        <f t="shared" si="0"/>
        <v>1</v>
      </c>
      <c r="P22" s="2" t="s">
        <v>21</v>
      </c>
      <c r="Q22" s="16">
        <v>1</v>
      </c>
    </row>
    <row r="23" spans="2:17" x14ac:dyDescent="0.2">
      <c r="B23" s="2" t="s">
        <v>77</v>
      </c>
      <c r="C23" s="2" t="s">
        <v>23</v>
      </c>
      <c r="D23" s="15">
        <v>0</v>
      </c>
      <c r="E23" s="15">
        <v>0</v>
      </c>
      <c r="F23" s="15">
        <v>0</v>
      </c>
      <c r="G23" s="15">
        <v>0</v>
      </c>
      <c r="I23" s="2" t="s">
        <v>23</v>
      </c>
      <c r="J23" s="28">
        <v>0</v>
      </c>
      <c r="K23" s="28">
        <v>0</v>
      </c>
      <c r="L23" s="28">
        <v>0</v>
      </c>
      <c r="M23" s="28">
        <v>0</v>
      </c>
      <c r="N23" s="15">
        <f t="shared" si="0"/>
        <v>0</v>
      </c>
      <c r="P23" s="2" t="s">
        <v>23</v>
      </c>
      <c r="Q23" s="16">
        <v>0</v>
      </c>
    </row>
    <row r="24" spans="2:17" x14ac:dyDescent="0.2">
      <c r="B24" s="2" t="s">
        <v>78</v>
      </c>
      <c r="C24" s="2" t="s">
        <v>22</v>
      </c>
      <c r="D24" s="15">
        <v>0</v>
      </c>
      <c r="E24" s="15">
        <v>0</v>
      </c>
      <c r="F24" s="15">
        <v>0</v>
      </c>
      <c r="G24" s="15">
        <v>0</v>
      </c>
      <c r="I24" s="2" t="s">
        <v>22</v>
      </c>
      <c r="J24" s="15">
        <v>0</v>
      </c>
      <c r="K24" s="15">
        <v>0</v>
      </c>
      <c r="L24" s="15">
        <v>0</v>
      </c>
      <c r="M24" s="15">
        <v>0</v>
      </c>
      <c r="N24" s="15">
        <f t="shared" si="0"/>
        <v>0</v>
      </c>
      <c r="P24" s="2" t="s">
        <v>22</v>
      </c>
      <c r="Q24" s="16">
        <v>0</v>
      </c>
    </row>
    <row r="25" spans="2:17" x14ac:dyDescent="0.2">
      <c r="B25" s="2" t="s">
        <v>79</v>
      </c>
      <c r="C25" s="2" t="s">
        <v>24</v>
      </c>
      <c r="D25" s="15">
        <v>0</v>
      </c>
      <c r="E25" s="15">
        <v>0</v>
      </c>
      <c r="F25" s="15">
        <v>0</v>
      </c>
      <c r="G25" s="15">
        <v>0</v>
      </c>
      <c r="I25" s="2" t="s">
        <v>24</v>
      </c>
      <c r="J25" s="15">
        <v>0</v>
      </c>
      <c r="K25" s="15">
        <v>0</v>
      </c>
      <c r="L25" s="15">
        <v>0</v>
      </c>
      <c r="M25" s="15">
        <v>0</v>
      </c>
      <c r="N25" s="15">
        <f t="shared" si="0"/>
        <v>0</v>
      </c>
      <c r="P25" s="2" t="s">
        <v>24</v>
      </c>
      <c r="Q25" s="16">
        <v>0</v>
      </c>
    </row>
    <row r="26" spans="2:17" x14ac:dyDescent="0.2">
      <c r="B26" s="2" t="s">
        <v>80</v>
      </c>
      <c r="C26" s="2" t="s">
        <v>25</v>
      </c>
      <c r="D26" s="15">
        <v>0</v>
      </c>
      <c r="E26" s="15">
        <v>0</v>
      </c>
      <c r="F26" s="15">
        <v>0</v>
      </c>
      <c r="G26" s="15">
        <v>0</v>
      </c>
      <c r="I26" s="2" t="s">
        <v>25</v>
      </c>
      <c r="J26" s="15">
        <v>0</v>
      </c>
      <c r="K26" s="15">
        <v>0</v>
      </c>
      <c r="L26" s="15">
        <v>0</v>
      </c>
      <c r="M26" s="15">
        <v>0</v>
      </c>
      <c r="N26" s="15">
        <f t="shared" si="0"/>
        <v>0</v>
      </c>
      <c r="P26" s="2" t="s">
        <v>25</v>
      </c>
      <c r="Q26" s="16">
        <v>0</v>
      </c>
    </row>
    <row r="27" spans="2:17" x14ac:dyDescent="0.2">
      <c r="D27" s="16"/>
      <c r="E27" s="16"/>
      <c r="F27" s="16"/>
      <c r="G27" s="16"/>
      <c r="L27" s="30"/>
      <c r="M27" s="28"/>
    </row>
    <row r="29" spans="2:17" x14ac:dyDescent="0.2">
      <c r="I29" s="1" t="s">
        <v>82</v>
      </c>
    </row>
    <row r="30" spans="2:17" x14ac:dyDescent="0.2">
      <c r="I30" t="s">
        <v>83</v>
      </c>
    </row>
    <row r="34" spans="3:28" x14ac:dyDescent="0.2">
      <c r="D34" t="s">
        <v>40</v>
      </c>
    </row>
    <row r="36" spans="3:28" x14ac:dyDescent="0.2">
      <c r="D36" t="s">
        <v>41</v>
      </c>
    </row>
    <row r="38" spans="3:28" x14ac:dyDescent="0.2">
      <c r="D38" t="s">
        <v>42</v>
      </c>
    </row>
    <row r="40" spans="3:28" x14ac:dyDescent="0.2"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12</v>
      </c>
      <c r="M40" s="2"/>
      <c r="N40" s="2" t="s">
        <v>13</v>
      </c>
      <c r="O40" s="2" t="s">
        <v>14</v>
      </c>
      <c r="P40" s="2" t="s">
        <v>15</v>
      </c>
      <c r="Q40" s="2" t="s">
        <v>16</v>
      </c>
      <c r="R40" s="2" t="s">
        <v>17</v>
      </c>
      <c r="S40" s="2" t="s">
        <v>31</v>
      </c>
      <c r="T40" s="15" t="s">
        <v>18</v>
      </c>
      <c r="U40" s="2" t="s">
        <v>19</v>
      </c>
      <c r="V40" s="2" t="s">
        <v>20</v>
      </c>
      <c r="W40" s="2" t="s">
        <v>21</v>
      </c>
      <c r="X40" s="2" t="s">
        <v>23</v>
      </c>
      <c r="Y40" s="2" t="s">
        <v>22</v>
      </c>
      <c r="Z40" s="2" t="s">
        <v>24</v>
      </c>
      <c r="AA40" s="2" t="s">
        <v>25</v>
      </c>
    </row>
    <row r="41" spans="3:28" x14ac:dyDescent="0.2">
      <c r="C41" s="15">
        <v>1482</v>
      </c>
      <c r="D41" s="15">
        <v>1070</v>
      </c>
      <c r="E41" s="15">
        <v>589</v>
      </c>
      <c r="F41" s="4">
        <v>411</v>
      </c>
      <c r="G41" s="4">
        <v>393</v>
      </c>
      <c r="H41" s="4">
        <v>349</v>
      </c>
      <c r="I41" s="4">
        <v>297</v>
      </c>
      <c r="J41" s="4">
        <v>272</v>
      </c>
      <c r="K41" s="4">
        <v>229</v>
      </c>
      <c r="L41" s="4">
        <v>227</v>
      </c>
      <c r="M41" s="4"/>
      <c r="N41" s="4">
        <v>219</v>
      </c>
      <c r="O41" s="4">
        <v>175</v>
      </c>
      <c r="P41" s="4">
        <v>154</v>
      </c>
      <c r="Q41" s="4">
        <v>117</v>
      </c>
      <c r="R41" s="4">
        <v>65</v>
      </c>
      <c r="S41" s="15">
        <v>56</v>
      </c>
      <c r="T41" s="15">
        <v>25</v>
      </c>
      <c r="U41" s="15">
        <v>21</v>
      </c>
      <c r="V41" s="15">
        <v>7</v>
      </c>
      <c r="W41" s="28">
        <v>1</v>
      </c>
      <c r="X41" s="28">
        <v>0</v>
      </c>
      <c r="Y41" s="28">
        <v>0</v>
      </c>
      <c r="Z41" s="28">
        <v>0</v>
      </c>
      <c r="AA41" s="28">
        <v>0</v>
      </c>
    </row>
    <row r="42" spans="3:28" x14ac:dyDescent="0.2">
      <c r="C42" s="15">
        <v>1410</v>
      </c>
      <c r="D42" s="15">
        <v>586</v>
      </c>
      <c r="E42" s="15">
        <v>410</v>
      </c>
      <c r="F42" s="4">
        <v>209</v>
      </c>
      <c r="G42" s="4">
        <v>357</v>
      </c>
      <c r="H42" s="4">
        <v>226</v>
      </c>
      <c r="I42" s="4">
        <v>218</v>
      </c>
      <c r="J42" s="4">
        <v>176</v>
      </c>
      <c r="K42" s="4">
        <v>104</v>
      </c>
      <c r="L42" s="4">
        <v>180</v>
      </c>
      <c r="M42" s="4"/>
      <c r="N42" s="4">
        <v>137</v>
      </c>
      <c r="O42" s="4">
        <v>87</v>
      </c>
      <c r="P42" s="4">
        <v>87</v>
      </c>
      <c r="Q42" s="4">
        <v>70</v>
      </c>
      <c r="R42" s="4">
        <v>36</v>
      </c>
      <c r="S42" s="15">
        <v>16</v>
      </c>
      <c r="T42" s="15">
        <v>14</v>
      </c>
      <c r="U42" s="15">
        <v>6</v>
      </c>
      <c r="V42" s="15">
        <v>2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3:28" x14ac:dyDescent="0.2">
      <c r="C43" s="15">
        <v>1428</v>
      </c>
      <c r="D43" s="15">
        <v>459</v>
      </c>
      <c r="E43" s="15">
        <v>403</v>
      </c>
      <c r="F43" s="4">
        <v>243</v>
      </c>
      <c r="G43" s="4">
        <v>539</v>
      </c>
      <c r="H43" s="4">
        <v>301</v>
      </c>
      <c r="I43" s="4">
        <v>242</v>
      </c>
      <c r="J43" s="4">
        <v>276</v>
      </c>
      <c r="K43" s="4">
        <v>199</v>
      </c>
      <c r="L43" s="4">
        <v>203</v>
      </c>
      <c r="M43" s="4"/>
      <c r="N43" s="4">
        <v>423</v>
      </c>
      <c r="O43" s="4">
        <v>210</v>
      </c>
      <c r="P43" s="4">
        <v>154</v>
      </c>
      <c r="Q43" s="4">
        <v>90</v>
      </c>
      <c r="R43" s="4">
        <v>37</v>
      </c>
      <c r="S43" s="15">
        <v>9</v>
      </c>
      <c r="T43" s="15">
        <v>20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3:28" x14ac:dyDescent="0.2">
      <c r="C44" s="15">
        <v>891</v>
      </c>
      <c r="D44" s="15">
        <v>251</v>
      </c>
      <c r="E44" s="15">
        <v>243</v>
      </c>
      <c r="F44" s="4">
        <v>191</v>
      </c>
      <c r="G44" s="4">
        <v>287</v>
      </c>
      <c r="H44" s="4">
        <v>286</v>
      </c>
      <c r="I44" s="4">
        <v>131</v>
      </c>
      <c r="J44" s="4">
        <v>129</v>
      </c>
      <c r="K44" s="4">
        <v>133</v>
      </c>
      <c r="L44" s="4">
        <v>167</v>
      </c>
      <c r="M44" s="4"/>
      <c r="N44" s="4">
        <v>114</v>
      </c>
      <c r="O44" s="4">
        <v>182</v>
      </c>
      <c r="P44" s="4">
        <v>103</v>
      </c>
      <c r="Q44" s="4">
        <v>77</v>
      </c>
      <c r="R44" s="4">
        <v>26</v>
      </c>
      <c r="S44" s="15">
        <v>20</v>
      </c>
      <c r="T44" s="15">
        <v>11</v>
      </c>
      <c r="U44" s="15">
        <v>0</v>
      </c>
      <c r="V44" s="15">
        <v>3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29"/>
    </row>
  </sheetData>
  <sortState xmlns:xlrd2="http://schemas.microsoft.com/office/spreadsheetml/2017/richdata2" ref="P3:Q26">
    <sortCondition descending="1" ref="Q3:Q26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C4CB-38A8-4280-8BF4-E51EA21F5582}">
  <dimension ref="B4:L37"/>
  <sheetViews>
    <sheetView showGridLines="0" workbookViewId="0">
      <selection activeCell="B19" sqref="B19"/>
    </sheetView>
  </sheetViews>
  <sheetFormatPr baseColWidth="10" defaultRowHeight="15" x14ac:dyDescent="0.2"/>
  <cols>
    <col min="3" max="3" width="13.1640625" bestFit="1" customWidth="1"/>
  </cols>
  <sheetData>
    <row r="4" spans="2:3" x14ac:dyDescent="0.2">
      <c r="B4" t="s">
        <v>0</v>
      </c>
    </row>
    <row r="6" spans="2:3" x14ac:dyDescent="0.2">
      <c r="B6" s="3" t="s">
        <v>91</v>
      </c>
      <c r="C6" s="3" t="s">
        <v>1</v>
      </c>
    </row>
    <row r="7" spans="2:3" x14ac:dyDescent="0.2">
      <c r="B7" s="2">
        <v>2013</v>
      </c>
      <c r="C7" s="5">
        <v>8864</v>
      </c>
    </row>
    <row r="8" spans="2:3" x14ac:dyDescent="0.2">
      <c r="B8" s="2">
        <v>2014</v>
      </c>
      <c r="C8" s="5">
        <v>8079</v>
      </c>
    </row>
    <row r="9" spans="2:3" x14ac:dyDescent="0.2">
      <c r="B9" s="2">
        <v>2015</v>
      </c>
      <c r="C9" s="5">
        <v>6825</v>
      </c>
    </row>
    <row r="10" spans="2:3" x14ac:dyDescent="0.2">
      <c r="B10" s="2">
        <v>2016</v>
      </c>
      <c r="C10" s="5">
        <v>3335</v>
      </c>
    </row>
    <row r="11" spans="2:3" x14ac:dyDescent="0.2">
      <c r="B11" s="2">
        <v>2017</v>
      </c>
      <c r="C11" s="5">
        <v>3978</v>
      </c>
    </row>
    <row r="12" spans="2:3" x14ac:dyDescent="0.2">
      <c r="B12" s="2">
        <v>2018</v>
      </c>
      <c r="C12" s="5">
        <v>4962</v>
      </c>
    </row>
    <row r="13" spans="2:3" x14ac:dyDescent="0.2">
      <c r="B13" s="2">
        <v>2019</v>
      </c>
      <c r="C13" s="5">
        <v>5908</v>
      </c>
    </row>
    <row r="14" spans="2:3" x14ac:dyDescent="0.2">
      <c r="B14" s="2">
        <v>2020</v>
      </c>
      <c r="C14" s="5">
        <v>4325</v>
      </c>
    </row>
    <row r="15" spans="2:3" x14ac:dyDescent="0.2">
      <c r="B15" s="2">
        <v>2021</v>
      </c>
      <c r="C15" s="5">
        <v>5242</v>
      </c>
    </row>
    <row r="16" spans="2:3" x14ac:dyDescent="0.2">
      <c r="B16" s="6">
        <v>2022</v>
      </c>
      <c r="C16" s="7">
        <v>5300</v>
      </c>
    </row>
    <row r="18" spans="2:9" x14ac:dyDescent="0.2">
      <c r="B18" s="8">
        <v>44895</v>
      </c>
      <c r="C18" s="9">
        <v>4615</v>
      </c>
    </row>
    <row r="19" spans="2:9" x14ac:dyDescent="0.2">
      <c r="B19" s="40" t="s">
        <v>92</v>
      </c>
      <c r="C19" s="41">
        <f>(C18*1)/C16</f>
        <v>0.87075471698113205</v>
      </c>
    </row>
    <row r="22" spans="2:9" x14ac:dyDescent="0.2">
      <c r="B22" s="10" t="s">
        <v>93</v>
      </c>
    </row>
    <row r="23" spans="2:9" x14ac:dyDescent="0.2">
      <c r="B23" s="10" t="s">
        <v>94</v>
      </c>
    </row>
    <row r="25" spans="2:9" x14ac:dyDescent="0.2">
      <c r="H25" s="17"/>
    </row>
    <row r="26" spans="2:9" x14ac:dyDescent="0.2">
      <c r="H26" s="17"/>
    </row>
    <row r="27" spans="2:9" x14ac:dyDescent="0.2">
      <c r="H27" s="17"/>
      <c r="I27" s="17"/>
    </row>
    <row r="28" spans="2:9" x14ac:dyDescent="0.2">
      <c r="H28" s="17"/>
      <c r="I28" s="17"/>
    </row>
    <row r="29" spans="2:9" x14ac:dyDescent="0.2">
      <c r="H29" s="17"/>
      <c r="I29" s="17"/>
    </row>
    <row r="30" spans="2:9" x14ac:dyDescent="0.2">
      <c r="H30" s="17"/>
      <c r="I30" s="17"/>
    </row>
    <row r="31" spans="2:9" x14ac:dyDescent="0.2">
      <c r="H31" s="17"/>
      <c r="I31" s="17"/>
    </row>
    <row r="32" spans="2:9" x14ac:dyDescent="0.2">
      <c r="H32" s="17"/>
      <c r="I32" s="17"/>
    </row>
    <row r="33" spans="8:12" x14ac:dyDescent="0.2">
      <c r="H33" s="17"/>
      <c r="I33" s="17"/>
    </row>
    <row r="34" spans="8:12" x14ac:dyDescent="0.2">
      <c r="H34" s="17"/>
      <c r="I34" s="17"/>
      <c r="K34" s="16"/>
      <c r="L34" s="16"/>
    </row>
    <row r="35" spans="8:12" x14ac:dyDescent="0.2">
      <c r="H35" s="17"/>
      <c r="I35" s="17"/>
    </row>
    <row r="36" spans="8:12" x14ac:dyDescent="0.2">
      <c r="H36" s="17"/>
      <c r="I36" s="17"/>
    </row>
    <row r="37" spans="8:12" x14ac:dyDescent="0.2">
      <c r="L37" s="18"/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363D-44AF-4316-9D05-8A1392DD254F}">
  <dimension ref="B2:G29"/>
  <sheetViews>
    <sheetView showGridLines="0" workbookViewId="0">
      <selection activeCell="C24" sqref="C24"/>
    </sheetView>
  </sheetViews>
  <sheetFormatPr baseColWidth="10" defaultRowHeight="15" x14ac:dyDescent="0.2"/>
  <cols>
    <col min="2" max="2" width="13.6640625" bestFit="1" customWidth="1"/>
    <col min="3" max="3" width="20.5" bestFit="1" customWidth="1"/>
  </cols>
  <sheetData>
    <row r="2" spans="2:7" x14ac:dyDescent="0.2">
      <c r="B2" s="10" t="s">
        <v>28</v>
      </c>
    </row>
    <row r="3" spans="2:7" x14ac:dyDescent="0.2">
      <c r="B3" s="10" t="s">
        <v>29</v>
      </c>
    </row>
    <row r="5" spans="2:7" x14ac:dyDescent="0.2">
      <c r="B5" s="11" t="s">
        <v>26</v>
      </c>
      <c r="C5" s="12" t="s">
        <v>27</v>
      </c>
      <c r="E5" s="1" t="s">
        <v>26</v>
      </c>
      <c r="F5" s="1"/>
      <c r="G5" s="1"/>
    </row>
    <row r="6" spans="2:7" x14ac:dyDescent="0.2">
      <c r="B6" s="2" t="s">
        <v>3</v>
      </c>
      <c r="C6" s="4">
        <v>1482</v>
      </c>
      <c r="E6" s="1" t="s">
        <v>4</v>
      </c>
      <c r="F6" s="1"/>
      <c r="G6" s="1">
        <f>DGET(B5:C29,C5,E5:E6)</f>
        <v>1070</v>
      </c>
    </row>
    <row r="7" spans="2:7" x14ac:dyDescent="0.2">
      <c r="B7" s="2" t="s">
        <v>4</v>
      </c>
      <c r="C7" s="4">
        <v>1070</v>
      </c>
    </row>
    <row r="8" spans="2:7" x14ac:dyDescent="0.2">
      <c r="B8" s="2" t="s">
        <v>5</v>
      </c>
      <c r="C8" s="4">
        <v>589</v>
      </c>
    </row>
    <row r="9" spans="2:7" x14ac:dyDescent="0.2">
      <c r="B9" s="2" t="s">
        <v>6</v>
      </c>
      <c r="C9" s="4">
        <v>411</v>
      </c>
    </row>
    <row r="10" spans="2:7" x14ac:dyDescent="0.2">
      <c r="B10" s="2" t="s">
        <v>7</v>
      </c>
      <c r="C10" s="4">
        <v>393</v>
      </c>
    </row>
    <row r="11" spans="2:7" x14ac:dyDescent="0.2">
      <c r="B11" s="2" t="s">
        <v>8</v>
      </c>
      <c r="C11" s="4">
        <v>349</v>
      </c>
    </row>
    <row r="12" spans="2:7" x14ac:dyDescent="0.2">
      <c r="B12" s="2" t="s">
        <v>9</v>
      </c>
      <c r="C12" s="4">
        <v>297</v>
      </c>
    </row>
    <row r="13" spans="2:7" x14ac:dyDescent="0.2">
      <c r="B13" s="2" t="s">
        <v>10</v>
      </c>
      <c r="C13" s="4">
        <v>272</v>
      </c>
    </row>
    <row r="14" spans="2:7" x14ac:dyDescent="0.2">
      <c r="B14" s="2" t="s">
        <v>11</v>
      </c>
      <c r="C14" s="4">
        <v>229</v>
      </c>
    </row>
    <row r="15" spans="2:7" x14ac:dyDescent="0.2">
      <c r="B15" s="2" t="s">
        <v>12</v>
      </c>
      <c r="C15" s="4">
        <v>227</v>
      </c>
    </row>
    <row r="16" spans="2:7" x14ac:dyDescent="0.2">
      <c r="B16" s="2" t="s">
        <v>13</v>
      </c>
      <c r="C16" s="4">
        <v>219</v>
      </c>
    </row>
    <row r="17" spans="2:3" x14ac:dyDescent="0.2">
      <c r="B17" s="2" t="s">
        <v>14</v>
      </c>
      <c r="C17" s="4">
        <v>175</v>
      </c>
    </row>
    <row r="18" spans="2:3" x14ac:dyDescent="0.2">
      <c r="B18" s="2" t="s">
        <v>15</v>
      </c>
      <c r="C18" s="4">
        <v>154</v>
      </c>
    </row>
    <row r="19" spans="2:3" x14ac:dyDescent="0.2">
      <c r="B19" s="2" t="s">
        <v>16</v>
      </c>
      <c r="C19" s="4">
        <v>117</v>
      </c>
    </row>
    <row r="20" spans="2:3" x14ac:dyDescent="0.2">
      <c r="B20" s="2" t="s">
        <v>17</v>
      </c>
      <c r="C20" s="4">
        <v>65</v>
      </c>
    </row>
    <row r="21" spans="2:3" x14ac:dyDescent="0.2">
      <c r="B21" s="2" t="s">
        <v>31</v>
      </c>
      <c r="C21" s="4">
        <v>56</v>
      </c>
    </row>
    <row r="22" spans="2:3" x14ac:dyDescent="0.2">
      <c r="B22" s="13" t="s">
        <v>18</v>
      </c>
      <c r="C22" s="14">
        <v>25</v>
      </c>
    </row>
    <row r="23" spans="2:3" x14ac:dyDescent="0.2">
      <c r="B23" s="2" t="s">
        <v>19</v>
      </c>
      <c r="C23" s="4">
        <v>21</v>
      </c>
    </row>
    <row r="24" spans="2:3" x14ac:dyDescent="0.2">
      <c r="B24" s="2" t="s">
        <v>20</v>
      </c>
      <c r="C24" s="4">
        <v>7</v>
      </c>
    </row>
    <row r="25" spans="2:3" x14ac:dyDescent="0.2">
      <c r="B25" s="2" t="s">
        <v>21</v>
      </c>
      <c r="C25" s="4">
        <v>1</v>
      </c>
    </row>
    <row r="26" spans="2:3" x14ac:dyDescent="0.2">
      <c r="B26" s="2" t="s">
        <v>22</v>
      </c>
      <c r="C26" s="4">
        <v>0</v>
      </c>
    </row>
    <row r="27" spans="2:3" x14ac:dyDescent="0.2">
      <c r="B27" s="2" t="s">
        <v>23</v>
      </c>
      <c r="C27" s="4">
        <v>0</v>
      </c>
    </row>
    <row r="28" spans="2:3" x14ac:dyDescent="0.2">
      <c r="B28" s="2" t="s">
        <v>24</v>
      </c>
      <c r="C28" s="4">
        <v>0</v>
      </c>
    </row>
    <row r="29" spans="2:3" x14ac:dyDescent="0.2">
      <c r="B29" s="2" t="s">
        <v>25</v>
      </c>
      <c r="C29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13A4-7B42-4165-A728-6684EF0D67F6}">
  <dimension ref="B2:C29"/>
  <sheetViews>
    <sheetView showGridLines="0" workbookViewId="0">
      <selection activeCell="C23" sqref="C23"/>
    </sheetView>
  </sheetViews>
  <sheetFormatPr baseColWidth="10" defaultRowHeight="15" x14ac:dyDescent="0.2"/>
  <cols>
    <col min="2" max="2" width="19" customWidth="1"/>
    <col min="3" max="3" width="21" bestFit="1" customWidth="1"/>
  </cols>
  <sheetData>
    <row r="2" spans="2:3" x14ac:dyDescent="0.2">
      <c r="B2" s="10" t="s">
        <v>28</v>
      </c>
    </row>
    <row r="3" spans="2:3" x14ac:dyDescent="0.2">
      <c r="B3" s="10" t="s">
        <v>30</v>
      </c>
    </row>
    <row r="5" spans="2:3" x14ac:dyDescent="0.2">
      <c r="B5" s="11" t="s">
        <v>26</v>
      </c>
      <c r="C5" s="12" t="s">
        <v>27</v>
      </c>
    </row>
    <row r="6" spans="2:3" x14ac:dyDescent="0.2">
      <c r="B6" s="2" t="s">
        <v>3</v>
      </c>
      <c r="C6" s="4">
        <v>1410</v>
      </c>
    </row>
    <row r="7" spans="2:3" x14ac:dyDescent="0.2">
      <c r="B7" s="2" t="s">
        <v>4</v>
      </c>
      <c r="C7" s="4">
        <v>586</v>
      </c>
    </row>
    <row r="8" spans="2:3" x14ac:dyDescent="0.2">
      <c r="B8" s="2" t="s">
        <v>5</v>
      </c>
      <c r="C8" s="4">
        <v>410</v>
      </c>
    </row>
    <row r="9" spans="2:3" x14ac:dyDescent="0.2">
      <c r="B9" s="2" t="s">
        <v>7</v>
      </c>
      <c r="C9" s="4">
        <v>357</v>
      </c>
    </row>
    <row r="10" spans="2:3" x14ac:dyDescent="0.2">
      <c r="B10" s="2" t="s">
        <v>8</v>
      </c>
      <c r="C10" s="4">
        <v>226</v>
      </c>
    </row>
    <row r="11" spans="2:3" x14ac:dyDescent="0.2">
      <c r="B11" s="2" t="s">
        <v>9</v>
      </c>
      <c r="C11" s="4">
        <v>218</v>
      </c>
    </row>
    <row r="12" spans="2:3" x14ac:dyDescent="0.2">
      <c r="B12" s="2" t="s">
        <v>6</v>
      </c>
      <c r="C12" s="4">
        <v>209</v>
      </c>
    </row>
    <row r="13" spans="2:3" x14ac:dyDescent="0.2">
      <c r="B13" s="2" t="s">
        <v>12</v>
      </c>
      <c r="C13" s="4">
        <v>180</v>
      </c>
    </row>
    <row r="14" spans="2:3" x14ac:dyDescent="0.2">
      <c r="B14" s="2" t="s">
        <v>10</v>
      </c>
      <c r="C14" s="4">
        <v>176</v>
      </c>
    </row>
    <row r="15" spans="2:3" x14ac:dyDescent="0.2">
      <c r="B15" s="2" t="s">
        <v>13</v>
      </c>
      <c r="C15" s="4">
        <v>137</v>
      </c>
    </row>
    <row r="16" spans="2:3" x14ac:dyDescent="0.2">
      <c r="B16" s="2" t="s">
        <v>11</v>
      </c>
      <c r="C16" s="4">
        <v>104</v>
      </c>
    </row>
    <row r="17" spans="2:3" x14ac:dyDescent="0.2">
      <c r="B17" s="2" t="s">
        <v>14</v>
      </c>
      <c r="C17" s="4">
        <v>87</v>
      </c>
    </row>
    <row r="18" spans="2:3" x14ac:dyDescent="0.2">
      <c r="B18" s="2" t="s">
        <v>15</v>
      </c>
      <c r="C18" s="4">
        <v>87</v>
      </c>
    </row>
    <row r="19" spans="2:3" x14ac:dyDescent="0.2">
      <c r="B19" s="2" t="s">
        <v>16</v>
      </c>
      <c r="C19" s="4">
        <v>70</v>
      </c>
    </row>
    <row r="20" spans="2:3" x14ac:dyDescent="0.2">
      <c r="B20" s="2" t="s">
        <v>17</v>
      </c>
      <c r="C20" s="4">
        <v>36</v>
      </c>
    </row>
    <row r="21" spans="2:3" x14ac:dyDescent="0.2">
      <c r="B21" s="2" t="s">
        <v>31</v>
      </c>
      <c r="C21" s="4">
        <v>16</v>
      </c>
    </row>
    <row r="22" spans="2:3" x14ac:dyDescent="0.2">
      <c r="B22" s="2" t="s">
        <v>18</v>
      </c>
      <c r="C22" s="4">
        <v>14</v>
      </c>
    </row>
    <row r="23" spans="2:3" x14ac:dyDescent="0.2">
      <c r="B23" s="2" t="s">
        <v>19</v>
      </c>
      <c r="C23" s="4">
        <v>6</v>
      </c>
    </row>
    <row r="24" spans="2:3" x14ac:dyDescent="0.2">
      <c r="B24" s="2" t="s">
        <v>20</v>
      </c>
      <c r="C24" s="4">
        <v>2</v>
      </c>
    </row>
    <row r="25" spans="2:3" x14ac:dyDescent="0.2">
      <c r="B25" s="2" t="s">
        <v>23</v>
      </c>
      <c r="C25" s="4">
        <v>0</v>
      </c>
    </row>
    <row r="26" spans="2:3" x14ac:dyDescent="0.2">
      <c r="B26" s="2" t="s">
        <v>21</v>
      </c>
      <c r="C26" s="4">
        <v>0</v>
      </c>
    </row>
    <row r="27" spans="2:3" x14ac:dyDescent="0.2">
      <c r="B27" s="2" t="s">
        <v>22</v>
      </c>
      <c r="C27" s="4">
        <v>0</v>
      </c>
    </row>
    <row r="28" spans="2:3" x14ac:dyDescent="0.2">
      <c r="B28" s="2" t="s">
        <v>24</v>
      </c>
      <c r="C28" s="4">
        <v>0</v>
      </c>
    </row>
    <row r="29" spans="2:3" x14ac:dyDescent="0.2">
      <c r="B29" s="2" t="s">
        <v>25</v>
      </c>
      <c r="C29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9270-E716-4657-9A26-9D36335DCFE6}">
  <dimension ref="B2:C29"/>
  <sheetViews>
    <sheetView showGridLines="0" workbookViewId="0">
      <selection activeCell="C23" sqref="C23"/>
    </sheetView>
  </sheetViews>
  <sheetFormatPr baseColWidth="10" defaultRowHeight="15" x14ac:dyDescent="0.2"/>
  <cols>
    <col min="2" max="2" width="18.83203125" customWidth="1"/>
    <col min="3" max="3" width="21" bestFit="1" customWidth="1"/>
  </cols>
  <sheetData>
    <row r="2" spans="2:3" x14ac:dyDescent="0.2">
      <c r="B2" s="10" t="s">
        <v>28</v>
      </c>
    </row>
    <row r="3" spans="2:3" x14ac:dyDescent="0.2">
      <c r="B3" s="10" t="s">
        <v>32</v>
      </c>
    </row>
    <row r="5" spans="2:3" x14ac:dyDescent="0.2">
      <c r="B5" s="11" t="s">
        <v>26</v>
      </c>
      <c r="C5" s="12" t="s">
        <v>27</v>
      </c>
    </row>
    <row r="6" spans="2:3" x14ac:dyDescent="0.2">
      <c r="B6" s="2" t="s">
        <v>3</v>
      </c>
      <c r="C6" s="4">
        <v>1428</v>
      </c>
    </row>
    <row r="7" spans="2:3" x14ac:dyDescent="0.2">
      <c r="B7" s="2" t="s">
        <v>7</v>
      </c>
      <c r="C7" s="4">
        <v>539</v>
      </c>
    </row>
    <row r="8" spans="2:3" x14ac:dyDescent="0.2">
      <c r="B8" s="2" t="s">
        <v>4</v>
      </c>
      <c r="C8" s="4">
        <v>459</v>
      </c>
    </row>
    <row r="9" spans="2:3" x14ac:dyDescent="0.2">
      <c r="B9" s="2" t="s">
        <v>13</v>
      </c>
      <c r="C9" s="4">
        <v>423</v>
      </c>
    </row>
    <row r="10" spans="2:3" x14ac:dyDescent="0.2">
      <c r="B10" s="2" t="s">
        <v>5</v>
      </c>
      <c r="C10" s="4">
        <v>403</v>
      </c>
    </row>
    <row r="11" spans="2:3" x14ac:dyDescent="0.2">
      <c r="B11" s="2" t="s">
        <v>8</v>
      </c>
      <c r="C11" s="4">
        <v>301</v>
      </c>
    </row>
    <row r="12" spans="2:3" x14ac:dyDescent="0.2">
      <c r="B12" s="2" t="s">
        <v>10</v>
      </c>
      <c r="C12" s="4">
        <v>276</v>
      </c>
    </row>
    <row r="13" spans="2:3" x14ac:dyDescent="0.2">
      <c r="B13" s="2" t="s">
        <v>6</v>
      </c>
      <c r="C13" s="4">
        <v>243</v>
      </c>
    </row>
    <row r="14" spans="2:3" x14ac:dyDescent="0.2">
      <c r="B14" s="2" t="s">
        <v>9</v>
      </c>
      <c r="C14" s="4">
        <v>242</v>
      </c>
    </row>
    <row r="15" spans="2:3" x14ac:dyDescent="0.2">
      <c r="B15" s="2" t="s">
        <v>14</v>
      </c>
      <c r="C15" s="4">
        <v>210</v>
      </c>
    </row>
    <row r="16" spans="2:3" x14ac:dyDescent="0.2">
      <c r="B16" s="2" t="s">
        <v>12</v>
      </c>
      <c r="C16" s="4">
        <v>203</v>
      </c>
    </row>
    <row r="17" spans="2:3" x14ac:dyDescent="0.2">
      <c r="B17" s="2" t="s">
        <v>11</v>
      </c>
      <c r="C17" s="4">
        <v>199</v>
      </c>
    </row>
    <row r="18" spans="2:3" x14ac:dyDescent="0.2">
      <c r="B18" s="2" t="s">
        <v>15</v>
      </c>
      <c r="C18" s="4">
        <v>154</v>
      </c>
    </row>
    <row r="19" spans="2:3" x14ac:dyDescent="0.2">
      <c r="B19" s="2" t="s">
        <v>16</v>
      </c>
      <c r="C19" s="4">
        <v>90</v>
      </c>
    </row>
    <row r="20" spans="2:3" x14ac:dyDescent="0.2">
      <c r="B20" s="2" t="s">
        <v>17</v>
      </c>
      <c r="C20" s="4">
        <v>37</v>
      </c>
    </row>
    <row r="21" spans="2:3" x14ac:dyDescent="0.2">
      <c r="B21" s="2" t="s">
        <v>18</v>
      </c>
      <c r="C21" s="4">
        <v>20</v>
      </c>
    </row>
    <row r="22" spans="2:3" x14ac:dyDescent="0.2">
      <c r="B22" s="2" t="s">
        <v>31</v>
      </c>
      <c r="C22" s="4">
        <v>9</v>
      </c>
    </row>
    <row r="23" spans="2:3" x14ac:dyDescent="0.2">
      <c r="B23" s="2" t="s">
        <v>20</v>
      </c>
      <c r="C23" s="4">
        <v>2</v>
      </c>
    </row>
    <row r="24" spans="2:3" x14ac:dyDescent="0.2">
      <c r="B24" s="2" t="s">
        <v>23</v>
      </c>
      <c r="C24" s="4">
        <v>0</v>
      </c>
    </row>
    <row r="25" spans="2:3" x14ac:dyDescent="0.2">
      <c r="B25" s="2" t="s">
        <v>19</v>
      </c>
      <c r="C25" s="4">
        <v>0</v>
      </c>
    </row>
    <row r="26" spans="2:3" x14ac:dyDescent="0.2">
      <c r="B26" s="2" t="s">
        <v>21</v>
      </c>
      <c r="C26" s="4">
        <v>0</v>
      </c>
    </row>
    <row r="27" spans="2:3" x14ac:dyDescent="0.2">
      <c r="B27" s="2" t="s">
        <v>33</v>
      </c>
      <c r="C27" s="4">
        <v>0</v>
      </c>
    </row>
    <row r="28" spans="2:3" x14ac:dyDescent="0.2">
      <c r="B28" s="2" t="s">
        <v>25</v>
      </c>
      <c r="C28" s="4">
        <v>0</v>
      </c>
    </row>
    <row r="29" spans="2:3" x14ac:dyDescent="0.2">
      <c r="B29" s="2" t="s">
        <v>22</v>
      </c>
      <c r="C29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FC53-3948-4931-BF25-FB9D543A8AF9}">
  <dimension ref="B2:C29"/>
  <sheetViews>
    <sheetView showGridLines="0" workbookViewId="0">
      <selection activeCell="C9" sqref="C9"/>
    </sheetView>
  </sheetViews>
  <sheetFormatPr baseColWidth="10" defaultRowHeight="15" x14ac:dyDescent="0.2"/>
  <cols>
    <col min="2" max="2" width="17.33203125" customWidth="1"/>
    <col min="3" max="3" width="21" bestFit="1" customWidth="1"/>
  </cols>
  <sheetData>
    <row r="2" spans="2:3" x14ac:dyDescent="0.2">
      <c r="B2" s="10" t="s">
        <v>28</v>
      </c>
    </row>
    <row r="3" spans="2:3" x14ac:dyDescent="0.2">
      <c r="B3" s="10" t="s">
        <v>95</v>
      </c>
    </row>
    <row r="5" spans="2:3" x14ac:dyDescent="0.2">
      <c r="B5" s="11" t="s">
        <v>26</v>
      </c>
      <c r="C5" s="12" t="s">
        <v>27</v>
      </c>
    </row>
    <row r="6" spans="2:3" x14ac:dyDescent="0.2">
      <c r="B6" s="2" t="s">
        <v>3</v>
      </c>
      <c r="C6" s="4">
        <v>1114</v>
      </c>
    </row>
    <row r="7" spans="2:3" x14ac:dyDescent="0.2">
      <c r="B7" s="2" t="s">
        <v>8</v>
      </c>
      <c r="C7" s="4">
        <v>443</v>
      </c>
    </row>
    <row r="8" spans="2:3" x14ac:dyDescent="0.2">
      <c r="B8" s="2" t="s">
        <v>7</v>
      </c>
      <c r="C8" s="4">
        <v>436</v>
      </c>
    </row>
    <row r="9" spans="2:3" x14ac:dyDescent="0.2">
      <c r="B9" s="2" t="s">
        <v>4</v>
      </c>
      <c r="C9" s="4">
        <v>371</v>
      </c>
    </row>
    <row r="10" spans="2:3" x14ac:dyDescent="0.2">
      <c r="B10" s="2" t="s">
        <v>5</v>
      </c>
      <c r="C10" s="4">
        <v>356</v>
      </c>
    </row>
    <row r="11" spans="2:3" x14ac:dyDescent="0.2">
      <c r="B11" s="2" t="s">
        <v>6</v>
      </c>
      <c r="C11" s="4">
        <v>294</v>
      </c>
    </row>
    <row r="12" spans="2:3" x14ac:dyDescent="0.2">
      <c r="B12" s="2" t="s">
        <v>14</v>
      </c>
      <c r="C12" s="4">
        <v>253</v>
      </c>
    </row>
    <row r="13" spans="2:3" x14ac:dyDescent="0.2">
      <c r="B13" s="2" t="s">
        <v>12</v>
      </c>
      <c r="C13" s="4">
        <v>236</v>
      </c>
    </row>
    <row r="14" spans="2:3" x14ac:dyDescent="0.2">
      <c r="B14" s="2" t="s">
        <v>11</v>
      </c>
      <c r="C14" s="4">
        <v>186</v>
      </c>
    </row>
    <row r="15" spans="2:3" x14ac:dyDescent="0.2">
      <c r="B15" s="2" t="s">
        <v>9</v>
      </c>
      <c r="C15" s="4">
        <v>212</v>
      </c>
    </row>
    <row r="16" spans="2:3" x14ac:dyDescent="0.2">
      <c r="B16" s="2" t="s">
        <v>10</v>
      </c>
      <c r="C16" s="4">
        <v>179</v>
      </c>
    </row>
    <row r="17" spans="2:3" x14ac:dyDescent="0.2">
      <c r="B17" s="2" t="s">
        <v>13</v>
      </c>
      <c r="C17" s="4">
        <v>174</v>
      </c>
    </row>
    <row r="18" spans="2:3" x14ac:dyDescent="0.2">
      <c r="B18" s="2" t="s">
        <v>15</v>
      </c>
      <c r="C18" s="4">
        <v>157</v>
      </c>
    </row>
    <row r="19" spans="2:3" x14ac:dyDescent="0.2">
      <c r="B19" s="2" t="s">
        <v>16</v>
      </c>
      <c r="C19" s="4">
        <v>107</v>
      </c>
    </row>
    <row r="20" spans="2:3" x14ac:dyDescent="0.2">
      <c r="B20" s="2" t="s">
        <v>17</v>
      </c>
      <c r="C20" s="4">
        <v>41</v>
      </c>
    </row>
    <row r="21" spans="2:3" x14ac:dyDescent="0.2">
      <c r="B21" s="2" t="s">
        <v>31</v>
      </c>
      <c r="C21" s="4">
        <v>33</v>
      </c>
    </row>
    <row r="22" spans="2:3" x14ac:dyDescent="0.2">
      <c r="B22" s="2" t="s">
        <v>18</v>
      </c>
      <c r="C22" s="4">
        <v>17</v>
      </c>
    </row>
    <row r="23" spans="2:3" x14ac:dyDescent="0.2">
      <c r="B23" s="2" t="s">
        <v>20</v>
      </c>
      <c r="C23" s="4">
        <v>4</v>
      </c>
    </row>
    <row r="24" spans="2:3" x14ac:dyDescent="0.2">
      <c r="B24" s="2" t="s">
        <v>23</v>
      </c>
      <c r="C24" s="4">
        <v>0</v>
      </c>
    </row>
    <row r="25" spans="2:3" x14ac:dyDescent="0.2">
      <c r="B25" s="2" t="s">
        <v>19</v>
      </c>
      <c r="C25" s="4">
        <v>0</v>
      </c>
    </row>
    <row r="26" spans="2:3" x14ac:dyDescent="0.2">
      <c r="B26" s="2" t="s">
        <v>21</v>
      </c>
      <c r="C26" s="4">
        <v>0</v>
      </c>
    </row>
    <row r="27" spans="2:3" x14ac:dyDescent="0.2">
      <c r="B27" s="2" t="s">
        <v>22</v>
      </c>
      <c r="C27" s="4">
        <v>0</v>
      </c>
    </row>
    <row r="28" spans="2:3" x14ac:dyDescent="0.2">
      <c r="B28" s="2" t="s">
        <v>33</v>
      </c>
      <c r="C28" s="4">
        <v>0</v>
      </c>
    </row>
    <row r="29" spans="2:3" x14ac:dyDescent="0.2">
      <c r="B29" s="2" t="s">
        <v>25</v>
      </c>
      <c r="C29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2081-ABA2-4D72-885B-FCAA6BD78DDE}">
  <dimension ref="B4:K54"/>
  <sheetViews>
    <sheetView showGridLines="0" zoomScale="110" zoomScaleNormal="110" workbookViewId="0">
      <selection activeCell="D5" sqref="D5"/>
    </sheetView>
  </sheetViews>
  <sheetFormatPr baseColWidth="10" defaultRowHeight="15" x14ac:dyDescent="0.2"/>
  <cols>
    <col min="2" max="2" width="3" bestFit="1" customWidth="1"/>
    <col min="3" max="3" width="28.1640625" bestFit="1" customWidth="1"/>
    <col min="4" max="4" width="32.5" customWidth="1"/>
    <col min="5" max="5" width="12.1640625" bestFit="1" customWidth="1"/>
  </cols>
  <sheetData>
    <row r="4" spans="2:4" ht="16" x14ac:dyDescent="0.2">
      <c r="C4" s="25" t="s">
        <v>81</v>
      </c>
      <c r="D4" s="24" t="s">
        <v>96</v>
      </c>
    </row>
    <row r="5" spans="2:4" x14ac:dyDescent="0.2">
      <c r="B5" s="19">
        <v>1</v>
      </c>
      <c r="C5" s="42" t="s">
        <v>3</v>
      </c>
      <c r="D5" s="15">
        <v>5378</v>
      </c>
    </row>
    <row r="6" spans="2:4" x14ac:dyDescent="0.2">
      <c r="B6" s="19">
        <v>2</v>
      </c>
      <c r="C6" s="42" t="s">
        <v>4</v>
      </c>
      <c r="D6" s="15">
        <v>2438</v>
      </c>
    </row>
    <row r="7" spans="2:4" x14ac:dyDescent="0.2">
      <c r="B7" s="19">
        <v>3</v>
      </c>
      <c r="C7" s="42" t="s">
        <v>5</v>
      </c>
      <c r="D7" s="15">
        <v>1724</v>
      </c>
    </row>
    <row r="8" spans="2:4" x14ac:dyDescent="0.2">
      <c r="B8" s="19">
        <v>4</v>
      </c>
      <c r="C8" s="42" t="s">
        <v>7</v>
      </c>
      <c r="D8" s="15">
        <v>1655</v>
      </c>
    </row>
    <row r="9" spans="2:4" x14ac:dyDescent="0.2">
      <c r="B9" s="19">
        <v>5</v>
      </c>
      <c r="C9" s="42" t="s">
        <v>8</v>
      </c>
      <c r="D9" s="15">
        <v>1256</v>
      </c>
    </row>
    <row r="10" spans="2:4" x14ac:dyDescent="0.2">
      <c r="B10" s="19">
        <v>6</v>
      </c>
      <c r="C10" s="42" t="s">
        <v>6</v>
      </c>
      <c r="D10" s="15">
        <v>1125</v>
      </c>
    </row>
    <row r="11" spans="2:4" x14ac:dyDescent="0.2">
      <c r="B11" s="19">
        <v>7</v>
      </c>
      <c r="C11" s="42" t="s">
        <v>9</v>
      </c>
      <c r="D11" s="15">
        <v>948</v>
      </c>
    </row>
    <row r="12" spans="2:4" x14ac:dyDescent="0.2">
      <c r="B12" s="19">
        <v>8</v>
      </c>
      <c r="C12" s="42" t="s">
        <v>13</v>
      </c>
      <c r="D12" s="15">
        <v>934</v>
      </c>
    </row>
    <row r="13" spans="2:4" x14ac:dyDescent="0.2">
      <c r="B13" s="19">
        <v>9</v>
      </c>
      <c r="C13" s="42" t="s">
        <v>10</v>
      </c>
      <c r="D13" s="15">
        <v>885</v>
      </c>
    </row>
    <row r="14" spans="2:4" x14ac:dyDescent="0.2">
      <c r="B14" s="19">
        <v>10</v>
      </c>
      <c r="C14" s="42" t="s">
        <v>12</v>
      </c>
      <c r="D14" s="15">
        <v>821</v>
      </c>
    </row>
    <row r="15" spans="2:4" x14ac:dyDescent="0.2">
      <c r="B15" s="19">
        <v>11</v>
      </c>
      <c r="C15" s="42" t="s">
        <v>14</v>
      </c>
      <c r="D15" s="15">
        <v>702</v>
      </c>
    </row>
    <row r="16" spans="2:4" x14ac:dyDescent="0.2">
      <c r="B16" s="19">
        <v>12</v>
      </c>
      <c r="C16" s="42" t="s">
        <v>11</v>
      </c>
      <c r="D16" s="15">
        <v>699</v>
      </c>
    </row>
    <row r="17" spans="2:6" x14ac:dyDescent="0.2">
      <c r="B17" s="19">
        <v>13</v>
      </c>
      <c r="C17" s="42" t="s">
        <v>15</v>
      </c>
      <c r="D17" s="15">
        <v>533</v>
      </c>
    </row>
    <row r="18" spans="2:6" x14ac:dyDescent="0.2">
      <c r="B18" s="19">
        <v>14</v>
      </c>
      <c r="C18" s="42" t="s">
        <v>16</v>
      </c>
      <c r="D18" s="15">
        <v>374</v>
      </c>
    </row>
    <row r="19" spans="2:6" x14ac:dyDescent="0.2">
      <c r="B19" s="19">
        <v>15</v>
      </c>
      <c r="C19" s="42" t="s">
        <v>17</v>
      </c>
      <c r="D19" s="15">
        <v>174</v>
      </c>
    </row>
    <row r="21" spans="2:6" x14ac:dyDescent="0.2">
      <c r="F21" s="10" t="s">
        <v>2</v>
      </c>
    </row>
    <row r="22" spans="2:6" x14ac:dyDescent="0.2">
      <c r="F22" s="10" t="s">
        <v>34</v>
      </c>
    </row>
    <row r="24" spans="2:6" x14ac:dyDescent="0.2">
      <c r="C24" s="22" t="s">
        <v>35</v>
      </c>
      <c r="D24" s="23">
        <f>100%-D29</f>
        <v>0.87366385014761272</v>
      </c>
    </row>
    <row r="25" spans="2:6" x14ac:dyDescent="0.2">
      <c r="D25" s="17"/>
    </row>
    <row r="27" spans="2:6" x14ac:dyDescent="0.2">
      <c r="D27" s="17"/>
    </row>
    <row r="28" spans="2:6" x14ac:dyDescent="0.2">
      <c r="C28" s="17">
        <f>SUM(D5:D19)</f>
        <v>19646</v>
      </c>
      <c r="D28" s="20">
        <v>1</v>
      </c>
    </row>
    <row r="29" spans="2:6" x14ac:dyDescent="0.2">
      <c r="C29" s="17">
        <f>SUM(D15:D19)</f>
        <v>2482</v>
      </c>
      <c r="D29" s="21">
        <f>(C29*D28)/C28</f>
        <v>0.12633614985238725</v>
      </c>
    </row>
    <row r="38" spans="3:5" x14ac:dyDescent="0.2">
      <c r="C38" t="s">
        <v>36</v>
      </c>
    </row>
    <row r="39" spans="3:5" x14ac:dyDescent="0.2">
      <c r="C39" t="s">
        <v>37</v>
      </c>
    </row>
    <row r="40" spans="3:5" x14ac:dyDescent="0.2">
      <c r="C40" t="s">
        <v>38</v>
      </c>
    </row>
    <row r="41" spans="3:5" x14ac:dyDescent="0.2">
      <c r="C41" t="s">
        <v>39</v>
      </c>
      <c r="D41" t="s">
        <v>54</v>
      </c>
    </row>
    <row r="43" spans="3:5" x14ac:dyDescent="0.2">
      <c r="D43" t="s">
        <v>43</v>
      </c>
    </row>
    <row r="46" spans="3:5" x14ac:dyDescent="0.2">
      <c r="D46" s="26" t="s">
        <v>53</v>
      </c>
    </row>
    <row r="47" spans="3:5" x14ac:dyDescent="0.2">
      <c r="D47" t="s">
        <v>44</v>
      </c>
    </row>
    <row r="48" spans="3:5" x14ac:dyDescent="0.2">
      <c r="D48" t="s">
        <v>45</v>
      </c>
      <c r="E48" t="s">
        <v>46</v>
      </c>
    </row>
    <row r="49" spans="4:11" x14ac:dyDescent="0.2">
      <c r="D49" t="s">
        <v>45</v>
      </c>
      <c r="E49" t="s">
        <v>47</v>
      </c>
    </row>
    <row r="50" spans="4:11" x14ac:dyDescent="0.2">
      <c r="D50" t="s">
        <v>45</v>
      </c>
      <c r="E50" t="s">
        <v>48</v>
      </c>
    </row>
    <row r="51" spans="4:11" x14ac:dyDescent="0.2">
      <c r="D51" s="27" t="s">
        <v>45</v>
      </c>
      <c r="E51" s="27" t="s">
        <v>49</v>
      </c>
      <c r="F51" s="27"/>
      <c r="G51" s="27"/>
      <c r="H51" s="27"/>
      <c r="I51" s="27" t="s">
        <v>55</v>
      </c>
      <c r="J51" s="27"/>
      <c r="K51" s="27"/>
    </row>
    <row r="52" spans="4:11" x14ac:dyDescent="0.2">
      <c r="D52" t="s">
        <v>45</v>
      </c>
      <c r="E52" t="s">
        <v>50</v>
      </c>
    </row>
    <row r="53" spans="4:11" x14ac:dyDescent="0.2">
      <c r="D53" t="s">
        <v>51</v>
      </c>
    </row>
    <row r="54" spans="4:11" x14ac:dyDescent="0.2">
      <c r="D54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Hoja2</vt:lpstr>
      <vt:lpstr>Hoja1</vt:lpstr>
      <vt:lpstr>Hoja6</vt:lpstr>
      <vt:lpstr>MACRO</vt:lpstr>
      <vt:lpstr>2019</vt:lpstr>
      <vt:lpstr>2020</vt:lpstr>
      <vt:lpstr>2021</vt:lpstr>
      <vt:lpstr>2022</vt:lpstr>
      <vt:lpstr>Top 15 (Presente)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Microsoft Office User</cp:lastModifiedBy>
  <dcterms:created xsi:type="dcterms:W3CDTF">2022-10-21T16:53:44Z</dcterms:created>
  <dcterms:modified xsi:type="dcterms:W3CDTF">2023-01-12T15:08:22Z</dcterms:modified>
</cp:coreProperties>
</file>